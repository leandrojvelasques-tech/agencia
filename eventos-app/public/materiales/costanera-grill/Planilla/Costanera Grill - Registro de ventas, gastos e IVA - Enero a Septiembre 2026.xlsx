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 Ventas" sheetId="1" r:id="rId5"/>
    <sheet state="visible" name="Enero Gastos" sheetId="2" r:id="rId6"/>
    <sheet state="visible" name="Febrero Ventas" sheetId="3" r:id="rId7"/>
    <sheet state="visible" name="Febrero Gastos" sheetId="4" r:id="rId8"/>
    <sheet state="visible" name="Marzo Ventas" sheetId="5" r:id="rId9"/>
    <sheet state="visible" name="Marzo Gastos" sheetId="6" r:id="rId10"/>
    <sheet state="visible" name="Abril Ventas" sheetId="7" r:id="rId11"/>
    <sheet state="visible" name="Abril Gastos" sheetId="8" r:id="rId12"/>
    <sheet state="visible" name="Mayo Ventas" sheetId="9" r:id="rId13"/>
    <sheet state="visible" name="Mayo Gastos" sheetId="10" r:id="rId14"/>
    <sheet state="visible" name="Junio Ventas" sheetId="11" r:id="rId15"/>
    <sheet state="visible" name="Junio Gastos" sheetId="12" r:id="rId16"/>
    <sheet state="visible" name="Julio Ventas" sheetId="13" r:id="rId17"/>
    <sheet state="visible" name="Julio Gastos" sheetId="14" r:id="rId18"/>
    <sheet state="visible" name="Agosto Ventas" sheetId="15" r:id="rId19"/>
    <sheet state="visible" name="Agosto Gastos" sheetId="16" r:id="rId20"/>
    <sheet state="visible" name="Septiembre Ventas" sheetId="17" r:id="rId21"/>
    <sheet state="visible" name="Septiembre Gastos" sheetId="18" r:id="rId22"/>
    <sheet state="visible" name="Cierre de caja 23-09" sheetId="19" r:id="rId23"/>
    <sheet state="visible" name="Resumen mensual" sheetId="20" r:id="rId24"/>
  </sheets>
  <definedNames>
    <definedName hidden="1" localSheetId="18" name="_xlnm._FilterDatabase">'Cierre de caja 23-09'!$A$4:$H$26</definedName>
  </definedNames>
  <calcPr/>
</workbook>
</file>

<file path=xl/sharedStrings.xml><?xml version="1.0" encoding="utf-8"?>
<sst xmlns="http://schemas.openxmlformats.org/spreadsheetml/2006/main" count="4240" uniqueCount="900">
  <si>
    <t>COSTANERA GRILL · FEBRERO 2026 · REGISTRO DE COMPRAS Y GASTOS (SIMULACIÓN)</t>
  </si>
  <si>
    <t>COSTANERA GRILL · ENERO 2026 · REGISTRO DE COMPRAS Y GASTOS (SIMULACIÓN)</t>
  </si>
  <si>
    <t>COSTANERA GRILL · FEBRERO 2026 · REGISTRO DE VENTAS (SIMULACIÓN)</t>
  </si>
  <si>
    <t>COSTANERA GRILL · ENERO 2026 · REGISTRO DE VENTAS (SIMULACIÓN)</t>
  </si>
  <si>
    <t>Datos inventados para ejercicio de capacitación. Sin validez fiscal ni contable. IVA calculado con fórmula sobre base imponible.</t>
  </si>
  <si>
    <t>Fecha</t>
  </si>
  <si>
    <t>Tipo comprobante</t>
  </si>
  <si>
    <t>Número</t>
  </si>
  <si>
    <t>Cliente</t>
  </si>
  <si>
    <t>CUIT cliente (ficticio)</t>
  </si>
  <si>
    <t>Concepto</t>
  </si>
  <si>
    <t>Cantidad</t>
  </si>
  <si>
    <t>Neto gravado</t>
  </si>
  <si>
    <t>Alícuota IVA</t>
  </si>
  <si>
    <t>Proveedores y comprobantes ficticios. Alícuotas ilustrativas; verificar normativa aplicable en un caso real.</t>
  </si>
  <si>
    <t>IVA débito</t>
  </si>
  <si>
    <t>Total</t>
  </si>
  <si>
    <t>Medio de cobro</t>
  </si>
  <si>
    <t>Factura A</t>
  </si>
  <si>
    <t>0001-00002001</t>
  </si>
  <si>
    <t>Consumidor final</t>
  </si>
  <si>
    <t>30-70052547-4</t>
  </si>
  <si>
    <t>Menú ejecutivo</t>
  </si>
  <si>
    <t>0001-00001001</t>
  </si>
  <si>
    <t>30-70051000-1</t>
  </si>
  <si>
    <t>Parrilla y cortes</t>
  </si>
  <si>
    <t>Proveedor</t>
  </si>
  <si>
    <t>CUIT proveedor (ficticio)</t>
  </si>
  <si>
    <t>Categoría</t>
  </si>
  <si>
    <t>Detalle</t>
  </si>
  <si>
    <t>IVA crédito</t>
  </si>
  <si>
    <t>Medio de pago</t>
  </si>
  <si>
    <t>Frigorífico La Pampa (FICTICIO)</t>
  </si>
  <si>
    <t>30-70123456-1</t>
  </si>
  <si>
    <t>Carne</t>
  </si>
  <si>
    <t>Compra de carne para operación</t>
  </si>
  <si>
    <t>Tarjeta de débito</t>
  </si>
  <si>
    <t>Factura B</t>
  </si>
  <si>
    <t>0001-00002002</t>
  </si>
  <si>
    <t>Cortes premium</t>
  </si>
  <si>
    <t>Efectivo</t>
  </si>
  <si>
    <t>0001-00001002</t>
  </si>
  <si>
    <t>Hotel Dársena (FICTICIO)</t>
  </si>
  <si>
    <t>Mercado Pago</t>
  </si>
  <si>
    <t>0001-00002003</t>
  </si>
  <si>
    <t>Empresa de Eventos Sur (FICTICIA)</t>
  </si>
  <si>
    <t>Bebidas y cubiertos</t>
  </si>
  <si>
    <t>Transferencia</t>
  </si>
  <si>
    <t>0001-00001003</t>
  </si>
  <si>
    <t>Tarjeta de crédito</t>
  </si>
  <si>
    <t>0001-00002004</t>
  </si>
  <si>
    <t>Carnes del Sur (FICTICIO)</t>
  </si>
  <si>
    <t>0001-00001004</t>
  </si>
  <si>
    <t>30-70987654-2</t>
  </si>
  <si>
    <t>Consultora Río (FICTICIA)</t>
  </si>
  <si>
    <t>0001-00002005</t>
  </si>
  <si>
    <t>Agencia Costera (FICTICIA)</t>
  </si>
  <si>
    <t>0001-00001005</t>
  </si>
  <si>
    <t>Estudio Madero (FICTICIO)</t>
  </si>
  <si>
    <t>0001-00002006</t>
  </si>
  <si>
    <t>0001-00001006</t>
  </si>
  <si>
    <t>0001-00002007</t>
  </si>
  <si>
    <t>Bebidas Río (FICTICIO)</t>
  </si>
  <si>
    <t>30-71234567-3</t>
  </si>
  <si>
    <t>0001-00002008</t>
  </si>
  <si>
    <t>Bebidas</t>
  </si>
  <si>
    <t>0001-00001007</t>
  </si>
  <si>
    <t>Compra de bebidas para operación</t>
  </si>
  <si>
    <t>0001-00002009</t>
  </si>
  <si>
    <t>0001-00001008</t>
  </si>
  <si>
    <t>0001-00002010</t>
  </si>
  <si>
    <t>0001-00001009</t>
  </si>
  <si>
    <t>Distribuidora Malbec (FICTICIO)</t>
  </si>
  <si>
    <t>30-72345678-4</t>
  </si>
  <si>
    <t>0001-00002011</t>
  </si>
  <si>
    <t>30-70054757-6</t>
  </si>
  <si>
    <t>0001-00001010</t>
  </si>
  <si>
    <t>Edenor - ejemplo didáctico</t>
  </si>
  <si>
    <t>30-54567891-2</t>
  </si>
  <si>
    <t>Electricidad</t>
  </si>
  <si>
    <t>0001-00002012</t>
  </si>
  <si>
    <t>Compra de electricidad para operación</t>
  </si>
  <si>
    <t>0001-00001011</t>
  </si>
  <si>
    <t>30-70053210-3</t>
  </si>
  <si>
    <t>Metrogas - ejemplo didáctico</t>
  </si>
  <si>
    <t>30-65789123-4</t>
  </si>
  <si>
    <t>Gas</t>
  </si>
  <si>
    <t>0001-00002013</t>
  </si>
  <si>
    <t>Compra de gas para operación</t>
  </si>
  <si>
    <t>0001-00001012</t>
  </si>
  <si>
    <t>Fibra Puerto (FICTICIO)</t>
  </si>
  <si>
    <t>30-67891234-5</t>
  </si>
  <si>
    <t>0001-00002014</t>
  </si>
  <si>
    <t>0001-00001013</t>
  </si>
  <si>
    <t>Internet</t>
  </si>
  <si>
    <t>Compra de internet para operación</t>
  </si>
  <si>
    <t>0001-00001014</t>
  </si>
  <si>
    <t>Limpieza del Puerto (FICTICIO)</t>
  </si>
  <si>
    <t>30-68912345-6</t>
  </si>
  <si>
    <t>0001-00002015</t>
  </si>
  <si>
    <t>Limpieza</t>
  </si>
  <si>
    <t>Compra de limpieza para operación</t>
  </si>
  <si>
    <t>0001-00002016</t>
  </si>
  <si>
    <t>Envases del Plata (FICTICIO)</t>
  </si>
  <si>
    <t>30-69123456-7</t>
  </si>
  <si>
    <t>0001-00001015</t>
  </si>
  <si>
    <t>Insumos</t>
  </si>
  <si>
    <t>Compra de insumos para operación</t>
  </si>
  <si>
    <t>0001-00002017</t>
  </si>
  <si>
    <t>0001-00002018</t>
  </si>
  <si>
    <t>0001-00001016</t>
  </si>
  <si>
    <t>Alquiler local Puerto Madero (FICTICIO)</t>
  </si>
  <si>
    <t>30-61234567-8</t>
  </si>
  <si>
    <t>Alquiler</t>
  </si>
  <si>
    <t>Compra de alquiler para operación</t>
  </si>
  <si>
    <t>0001-00002019</t>
  </si>
  <si>
    <t>0001-00001017</t>
  </si>
  <si>
    <t>0001-00002020</t>
  </si>
  <si>
    <t>Mantenimiento Parrillero (FICTICIO)</t>
  </si>
  <si>
    <t>30-63456789-1</t>
  </si>
  <si>
    <t>0001-00002021</t>
  </si>
  <si>
    <t>0001-00001018</t>
  </si>
  <si>
    <t>30-70056967-8</t>
  </si>
  <si>
    <t>Mantenimiento</t>
  </si>
  <si>
    <t>Compra de mantenimiento para operación</t>
  </si>
  <si>
    <t>0001-00002022</t>
  </si>
  <si>
    <t>0001-00001019</t>
  </si>
  <si>
    <t>Panificados del Puerto (FICTICIO)</t>
  </si>
  <si>
    <t>30-64567891-3</t>
  </si>
  <si>
    <t>0001-00002023</t>
  </si>
  <si>
    <t>Alimentos</t>
  </si>
  <si>
    <t>Compra de alimentos para operación</t>
  </si>
  <si>
    <t>0001-00002024</t>
  </si>
  <si>
    <t>0001-00001020</t>
  </si>
  <si>
    <t>Hortalizas del Mercado (FICTICIO)</t>
  </si>
  <si>
    <t>0001-00002025</t>
  </si>
  <si>
    <t>30-65678912-4</t>
  </si>
  <si>
    <t>0001-00002026</t>
  </si>
  <si>
    <t>0001-00001021</t>
  </si>
  <si>
    <t>30-70055420-5</t>
  </si>
  <si>
    <t>0001-00002027</t>
  </si>
  <si>
    <t>Servicio de seguridad (FICTICIO)</t>
  </si>
  <si>
    <t>30-66789123-5</t>
  </si>
  <si>
    <t>Servicios</t>
  </si>
  <si>
    <t>Compra de servicios para operación</t>
  </si>
  <si>
    <t>0001-00001022</t>
  </si>
  <si>
    <t>0001-00002028</t>
  </si>
  <si>
    <t>Lavandería Madero (FICTICIO)</t>
  </si>
  <si>
    <t>30-67891235-6</t>
  </si>
  <si>
    <t>0001-00002029</t>
  </si>
  <si>
    <t>0001-00001023</t>
  </si>
  <si>
    <t>Aceites y especias (FICTICIO)</t>
  </si>
  <si>
    <t>30-68912346-7</t>
  </si>
  <si>
    <t>0001-00002030</t>
  </si>
  <si>
    <t>0001-00001024</t>
  </si>
  <si>
    <t>Reparaciones del Sur (FICTICIO)</t>
  </si>
  <si>
    <t>30-69123457-8</t>
  </si>
  <si>
    <t>0001-00002031</t>
  </si>
  <si>
    <t>30-70059177-2</t>
  </si>
  <si>
    <t>0001-00001025</t>
  </si>
  <si>
    <t>Papelería Administrativa (FICTICIO)</t>
  </si>
  <si>
    <t>30-61234578-9</t>
  </si>
  <si>
    <t>Administración</t>
  </si>
  <si>
    <t>Compra de administración para operación</t>
  </si>
  <si>
    <t>0001-00002032</t>
  </si>
  <si>
    <t>0001-00002033</t>
  </si>
  <si>
    <t>0001-00001026</t>
  </si>
  <si>
    <t>0001-00002034</t>
  </si>
  <si>
    <t>0001-00002035</t>
  </si>
  <si>
    <t>0001-00001027</t>
  </si>
  <si>
    <t>0001-00002036</t>
  </si>
  <si>
    <t>0001-00002037</t>
  </si>
  <si>
    <t>0001-00001028</t>
  </si>
  <si>
    <t>0001-00002038</t>
  </si>
  <si>
    <t>0001-00002039</t>
  </si>
  <si>
    <t>0001-00001029</t>
  </si>
  <si>
    <t>0001-00002040</t>
  </si>
  <si>
    <t>0001-00001030</t>
  </si>
  <si>
    <t>0001-00002041</t>
  </si>
  <si>
    <t>30-70061387-4</t>
  </si>
  <si>
    <t>0001-00001031</t>
  </si>
  <si>
    <t>30-70057630-7</t>
  </si>
  <si>
    <t>0001-00002042</t>
  </si>
  <si>
    <t>0001-00002043</t>
  </si>
  <si>
    <t>0001-00001032</t>
  </si>
  <si>
    <t>0001-00002044</t>
  </si>
  <si>
    <t>0001-00002045</t>
  </si>
  <si>
    <t>0001-00001033</t>
  </si>
  <si>
    <t>0001-00002046</t>
  </si>
  <si>
    <t>0001-00002047</t>
  </si>
  <si>
    <t>0001-00001034</t>
  </si>
  <si>
    <t>0001-00002048</t>
  </si>
  <si>
    <t>0001-00002049</t>
  </si>
  <si>
    <t>0001-00001035</t>
  </si>
  <si>
    <t>0001-00002050</t>
  </si>
  <si>
    <t>0001-00001036</t>
  </si>
  <si>
    <t>0001-00002051</t>
  </si>
  <si>
    <t>30-70063597-6</t>
  </si>
  <si>
    <t>0001-00002052</t>
  </si>
  <si>
    <t>0001-00002053</t>
  </si>
  <si>
    <t>0001-00001037</t>
  </si>
  <si>
    <t>0001-00002054</t>
  </si>
  <si>
    <t>0001-00001038</t>
  </si>
  <si>
    <t>0001-00001039</t>
  </si>
  <si>
    <t>0001-00001040</t>
  </si>
  <si>
    <t>0001-00001041</t>
  </si>
  <si>
    <t>30-70059840-1</t>
  </si>
  <si>
    <t>0001-00001042</t>
  </si>
  <si>
    <t>0001-00001043</t>
  </si>
  <si>
    <t>0001-00001044</t>
  </si>
  <si>
    <t>0001-00001045</t>
  </si>
  <si>
    <t>0001-00001046</t>
  </si>
  <si>
    <t>0001-00001047</t>
  </si>
  <si>
    <t>0001-00001048</t>
  </si>
  <si>
    <t>0001-00001049</t>
  </si>
  <si>
    <t>0001-00001050</t>
  </si>
  <si>
    <t>0001-00001051</t>
  </si>
  <si>
    <t>30-70062050-3</t>
  </si>
  <si>
    <t>0001-00001052</t>
  </si>
  <si>
    <t>0001-00001053</t>
  </si>
  <si>
    <t>0001-00001054</t>
  </si>
  <si>
    <t>COSTANERA GRILL · MARZO 2026 · REGISTRO DE COMPRAS Y GASTOS (SIMULACIÓN)</t>
  </si>
  <si>
    <t>COSTANERA GRILL · MARZO 2026 · REGISTRO DE VENTAS (SIMULACIÓN)</t>
  </si>
  <si>
    <t>0001-00003001</t>
  </si>
  <si>
    <t>30-70054094-7</t>
  </si>
  <si>
    <t>COSTANERA GRILL · ABRIL 2026 · REGISTRO DE VENTAS (SIMULACIÓN)</t>
  </si>
  <si>
    <t>0001-00003002</t>
  </si>
  <si>
    <t>0001-00004001</t>
  </si>
  <si>
    <t>30-70055641-2</t>
  </si>
  <si>
    <t>0001-00003003</t>
  </si>
  <si>
    <t>0001-00003004</t>
  </si>
  <si>
    <t>0001-00003005</t>
  </si>
  <si>
    <t>0001-00003006</t>
  </si>
  <si>
    <t>0001-00004002</t>
  </si>
  <si>
    <t>0001-00003007</t>
  </si>
  <si>
    <t>0001-00004003</t>
  </si>
  <si>
    <t>0001-00003008</t>
  </si>
  <si>
    <t>0001-00004004</t>
  </si>
  <si>
    <t>0001-00003009</t>
  </si>
  <si>
    <t>0001-00004005</t>
  </si>
  <si>
    <t>0001-00003010</t>
  </si>
  <si>
    <t>0001-00004006</t>
  </si>
  <si>
    <t>0001-00003011</t>
  </si>
  <si>
    <t>30-70056304-1</t>
  </si>
  <si>
    <t>0001-00003012</t>
  </si>
  <si>
    <t>0001-00004007</t>
  </si>
  <si>
    <t>0001-00003013</t>
  </si>
  <si>
    <t>0001-00004008</t>
  </si>
  <si>
    <t>0001-00003014</t>
  </si>
  <si>
    <t>0001-00004009</t>
  </si>
  <si>
    <t>0001-00003015</t>
  </si>
  <si>
    <t>0001-00004010</t>
  </si>
  <si>
    <t>0001-00003016</t>
  </si>
  <si>
    <t>0001-00004011</t>
  </si>
  <si>
    <t>30-70057851-4</t>
  </si>
  <si>
    <t>0001-00004012</t>
  </si>
  <si>
    <t>0001-00003017</t>
  </si>
  <si>
    <t>0001-00003018</t>
  </si>
  <si>
    <t>0001-00003019</t>
  </si>
  <si>
    <t>0001-00004013</t>
  </si>
  <si>
    <t>0001-00003020</t>
  </si>
  <si>
    <t>0001-00004014</t>
  </si>
  <si>
    <t>0001-00004015</t>
  </si>
  <si>
    <t>0001-00004016</t>
  </si>
  <si>
    <t>0001-00004017</t>
  </si>
  <si>
    <t>0001-00003021</t>
  </si>
  <si>
    <t>30-70058514-3</t>
  </si>
  <si>
    <t>0001-00004018</t>
  </si>
  <si>
    <t>0001-00004019</t>
  </si>
  <si>
    <t>0001-00003022</t>
  </si>
  <si>
    <t>0001-00004020</t>
  </si>
  <si>
    <t>0001-00004021</t>
  </si>
  <si>
    <t>30-70060061-6</t>
  </si>
  <si>
    <t>0001-00003023</t>
  </si>
  <si>
    <t>0001-00004022</t>
  </si>
  <si>
    <t>0001-00003024</t>
  </si>
  <si>
    <t>0001-00004023</t>
  </si>
  <si>
    <t>0001-00004024</t>
  </si>
  <si>
    <t>0001-00003025</t>
  </si>
  <si>
    <t>0001-00004025</t>
  </si>
  <si>
    <t>0001-00003026</t>
  </si>
  <si>
    <t>0001-00004026</t>
  </si>
  <si>
    <t>0001-00003027</t>
  </si>
  <si>
    <t>0001-00004027</t>
  </si>
  <si>
    <t>0001-00003028</t>
  </si>
  <si>
    <t>COSTANERA GRILL · ABRIL 2026 · REGISTRO DE COMPRAS Y GASTOS (SIMULACIÓN)</t>
  </si>
  <si>
    <t>0001-00003029</t>
  </si>
  <si>
    <t>0001-00004028</t>
  </si>
  <si>
    <t>0001-00003030</t>
  </si>
  <si>
    <t>0001-00004029</t>
  </si>
  <si>
    <t>0001-00003031</t>
  </si>
  <si>
    <t>30-70060724-5</t>
  </si>
  <si>
    <t>0001-00004030</t>
  </si>
  <si>
    <t>0001-00003032</t>
  </si>
  <si>
    <t>0001-00004031</t>
  </si>
  <si>
    <t>0001-00003033</t>
  </si>
  <si>
    <t>30-70062271-8</t>
  </si>
  <si>
    <t>0001-00003034</t>
  </si>
  <si>
    <t>0001-00004032</t>
  </si>
  <si>
    <t>0001-00003035</t>
  </si>
  <si>
    <t>0001-00004033</t>
  </si>
  <si>
    <t>0001-00003036</t>
  </si>
  <si>
    <t>0001-00003037</t>
  </si>
  <si>
    <t>0001-00004034</t>
  </si>
  <si>
    <t>0001-00003038</t>
  </si>
  <si>
    <t>0001-00003039</t>
  </si>
  <si>
    <t>0001-00004035</t>
  </si>
  <si>
    <t>0001-00003040</t>
  </si>
  <si>
    <t>0001-00004036</t>
  </si>
  <si>
    <t>0001-00003041</t>
  </si>
  <si>
    <t>30-70062934-7</t>
  </si>
  <si>
    <t>0001-00004037</t>
  </si>
  <si>
    <t>0001-00004038</t>
  </si>
  <si>
    <t>0001-00003042</t>
  </si>
  <si>
    <t>0001-00004039</t>
  </si>
  <si>
    <t>0001-00003043</t>
  </si>
  <si>
    <t>0001-00004040</t>
  </si>
  <si>
    <t>0001-00004041</t>
  </si>
  <si>
    <t>30-70064481-2</t>
  </si>
  <si>
    <t>0001-00003044</t>
  </si>
  <si>
    <t>0001-00004042</t>
  </si>
  <si>
    <t>0001-00003045</t>
  </si>
  <si>
    <t>0001-00004043</t>
  </si>
  <si>
    <t>0001-00003046</t>
  </si>
  <si>
    <t>0001-00004044</t>
  </si>
  <si>
    <t>0001-00003047</t>
  </si>
  <si>
    <t>0001-00004045</t>
  </si>
  <si>
    <t>0001-00003048</t>
  </si>
  <si>
    <t>0001-00004046</t>
  </si>
  <si>
    <t>0001-00003049</t>
  </si>
  <si>
    <t>0001-00004047</t>
  </si>
  <si>
    <t>0001-00004048</t>
  </si>
  <si>
    <t>0001-00003050</t>
  </si>
  <si>
    <t>0001-00004049</t>
  </si>
  <si>
    <t>0001-00003051</t>
  </si>
  <si>
    <t>0001-00004050</t>
  </si>
  <si>
    <t>30-70065144-1</t>
  </si>
  <si>
    <t>0001-00004051</t>
  </si>
  <si>
    <t>30-70066691-4</t>
  </si>
  <si>
    <t>0001-00003052</t>
  </si>
  <si>
    <t>0001-00004052</t>
  </si>
  <si>
    <t>0001-00003053</t>
  </si>
  <si>
    <t>0001-00004053</t>
  </si>
  <si>
    <t>0001-00003054</t>
  </si>
  <si>
    <t>0001-00004054</t>
  </si>
  <si>
    <t>COSTANERA GRILL · MAYO 2026 · REGISTRO DE VENTAS (SIMULACIÓN)</t>
  </si>
  <si>
    <t>0001-00005001</t>
  </si>
  <si>
    <t>30-70057188-5</t>
  </si>
  <si>
    <t>0001-00005002</t>
  </si>
  <si>
    <t>0001-00005003</t>
  </si>
  <si>
    <t>0001-00005004</t>
  </si>
  <si>
    <t>0001-00005005</t>
  </si>
  <si>
    <t>0001-00005006</t>
  </si>
  <si>
    <t>0001-00005007</t>
  </si>
  <si>
    <t>0001-00005008</t>
  </si>
  <si>
    <t>0001-00005009</t>
  </si>
  <si>
    <t>0001-00005010</t>
  </si>
  <si>
    <t>0001-00005011</t>
  </si>
  <si>
    <t>30-70059398-7</t>
  </si>
  <si>
    <t>0001-00005012</t>
  </si>
  <si>
    <t>0001-00005013</t>
  </si>
  <si>
    <t>0001-00005014</t>
  </si>
  <si>
    <t>0001-00005015</t>
  </si>
  <si>
    <t>0001-00005016</t>
  </si>
  <si>
    <t>0001-00005017</t>
  </si>
  <si>
    <t>0001-00005018</t>
  </si>
  <si>
    <t>0001-00005019</t>
  </si>
  <si>
    <t>0001-00005020</t>
  </si>
  <si>
    <t>0001-00005021</t>
  </si>
  <si>
    <t>30-70061608-1</t>
  </si>
  <si>
    <t>0001-00005022</t>
  </si>
  <si>
    <t>0001-00005023</t>
  </si>
  <si>
    <t>0001-00005024</t>
  </si>
  <si>
    <t>0001-00005025</t>
  </si>
  <si>
    <t>0001-00005026</t>
  </si>
  <si>
    <t>COSTANERA GRILL · MAYO 2026 · REGISTRO DE COMPRAS Y GASTOS (SIMULACIÓN)</t>
  </si>
  <si>
    <t>0001-00005027</t>
  </si>
  <si>
    <t>0001-00005028</t>
  </si>
  <si>
    <t>0001-00005029</t>
  </si>
  <si>
    <t>0001-00005030</t>
  </si>
  <si>
    <t>0001-00005031</t>
  </si>
  <si>
    <t>30-70063818-3</t>
  </si>
  <si>
    <t>0001-00005032</t>
  </si>
  <si>
    <t>0001-00005033</t>
  </si>
  <si>
    <t>COSTANERA GRILL · JUNIO 2026 · REGISTRO DE VENTAS (SIMULACIÓN)</t>
  </si>
  <si>
    <t>0001-00005034</t>
  </si>
  <si>
    <t>0001-00005035</t>
  </si>
  <si>
    <t>0001-00005036</t>
  </si>
  <si>
    <t>0001-00006001</t>
  </si>
  <si>
    <t>0001-00005037</t>
  </si>
  <si>
    <t>30-70058735-8</t>
  </si>
  <si>
    <t>COSTANERA GRILL · JUNIO 2026 · REGISTRO DE COMPRAS Y GASTOS (SIMULACIÓN)</t>
  </si>
  <si>
    <t>0001-00005038</t>
  </si>
  <si>
    <t>0001-00005039</t>
  </si>
  <si>
    <t>0001-00005040</t>
  </si>
  <si>
    <t>0001-00005041</t>
  </si>
  <si>
    <t>30-70066028-5</t>
  </si>
  <si>
    <t>0001-00006002</t>
  </si>
  <si>
    <t>0001-00005042</t>
  </si>
  <si>
    <t>0001-00006003</t>
  </si>
  <si>
    <t>0001-00005043</t>
  </si>
  <si>
    <t>0001-00005044</t>
  </si>
  <si>
    <t>0001-00006004</t>
  </si>
  <si>
    <t>0001-00005045</t>
  </si>
  <si>
    <t>0001-00006005</t>
  </si>
  <si>
    <t>0001-00005046</t>
  </si>
  <si>
    <t>0001-00006006</t>
  </si>
  <si>
    <t>0001-00005047</t>
  </si>
  <si>
    <t>0001-00006007</t>
  </si>
  <si>
    <t>0001-00005048</t>
  </si>
  <si>
    <t>0001-00006008</t>
  </si>
  <si>
    <t>0001-00005049</t>
  </si>
  <si>
    <t>0001-00006009</t>
  </si>
  <si>
    <t>0001-00005050</t>
  </si>
  <si>
    <t>0001-00006010</t>
  </si>
  <si>
    <t>0001-00005051</t>
  </si>
  <si>
    <t>30-70068238-7</t>
  </si>
  <si>
    <t>0001-00006011</t>
  </si>
  <si>
    <t>30-70060945-2</t>
  </si>
  <si>
    <t>0001-00005052</t>
  </si>
  <si>
    <t>0001-00006012</t>
  </si>
  <si>
    <t>0001-00005053</t>
  </si>
  <si>
    <t>0001-00006013</t>
  </si>
  <si>
    <t>0001-00005054</t>
  </si>
  <si>
    <t>0001-00006014</t>
  </si>
  <si>
    <t>0001-00006015</t>
  </si>
  <si>
    <t>0001-00006016</t>
  </si>
  <si>
    <t>0001-00006017</t>
  </si>
  <si>
    <t>0001-00006018</t>
  </si>
  <si>
    <t>0001-00006019</t>
  </si>
  <si>
    <t>0001-00006020</t>
  </si>
  <si>
    <t>0001-00006021</t>
  </si>
  <si>
    <t>30-70063155-4</t>
  </si>
  <si>
    <t>0001-00006022</t>
  </si>
  <si>
    <t>0001-00006023</t>
  </si>
  <si>
    <t>0001-00006024</t>
  </si>
  <si>
    <t>0001-00006025</t>
  </si>
  <si>
    <t>0001-00006026</t>
  </si>
  <si>
    <t>0001-00006027</t>
  </si>
  <si>
    <t>0001-00006028</t>
  </si>
  <si>
    <t>0001-00006029</t>
  </si>
  <si>
    <t>0001-00006030</t>
  </si>
  <si>
    <t>0001-00006031</t>
  </si>
  <si>
    <t>30-70065365-6</t>
  </si>
  <si>
    <t>0001-00006032</t>
  </si>
  <si>
    <t>0001-00006033</t>
  </si>
  <si>
    <t>0001-00006034</t>
  </si>
  <si>
    <t>0001-00006035</t>
  </si>
  <si>
    <t>0001-00006036</t>
  </si>
  <si>
    <t>0001-00006037</t>
  </si>
  <si>
    <t>0001-00006038</t>
  </si>
  <si>
    <t>0001-00006039</t>
  </si>
  <si>
    <t>0001-00006040</t>
  </si>
  <si>
    <t>0001-00006041</t>
  </si>
  <si>
    <t>30-70067575-8</t>
  </si>
  <si>
    <t>0001-00006042</t>
  </si>
  <si>
    <t>0001-00006043</t>
  </si>
  <si>
    <t>0001-00006044</t>
  </si>
  <si>
    <t>0001-00006045</t>
  </si>
  <si>
    <t>0001-00006046</t>
  </si>
  <si>
    <t>0001-00006047</t>
  </si>
  <si>
    <t>0001-00006048</t>
  </si>
  <si>
    <t>0001-00006049</t>
  </si>
  <si>
    <t>0001-00006050</t>
  </si>
  <si>
    <t>0001-00006051</t>
  </si>
  <si>
    <t>30-70069785-2</t>
  </si>
  <si>
    <t>0001-00006052</t>
  </si>
  <si>
    <t>0001-00006053</t>
  </si>
  <si>
    <t>0001-00006054</t>
  </si>
  <si>
    <t>COSTANERA GRILL · JULIO 2026 · REGISTRO DE COMPRAS Y GASTOS (SIMULACIÓN)</t>
  </si>
  <si>
    <t>COSTANERA GRILL · JULIO 2026 · REGISTRO DE VENTAS (SIMULACIÓN)</t>
  </si>
  <si>
    <t>COSTANERA GRILL · AGOSTO 2026 · REGISTRO DE VENTAS (SIMULACIÓN)</t>
  </si>
  <si>
    <t>0001-00007001</t>
  </si>
  <si>
    <t>30-70060282-3</t>
  </si>
  <si>
    <t>0001-00008001</t>
  </si>
  <si>
    <t>30-70061829-6</t>
  </si>
  <si>
    <t>0001-00007002</t>
  </si>
  <si>
    <t>0001-00008002</t>
  </si>
  <si>
    <t>0001-00007003</t>
  </si>
  <si>
    <t>0001-00008003</t>
  </si>
  <si>
    <t>0001-00007004</t>
  </si>
  <si>
    <t>0001-00008004</t>
  </si>
  <si>
    <t>0001-00007005</t>
  </si>
  <si>
    <t>0001-00008005</t>
  </si>
  <si>
    <t>0001-00007006</t>
  </si>
  <si>
    <t>0001-00008006</t>
  </si>
  <si>
    <t>0001-00007007</t>
  </si>
  <si>
    <t>0001-00008007</t>
  </si>
  <si>
    <t>0001-00007008</t>
  </si>
  <si>
    <t>0001-00008008</t>
  </si>
  <si>
    <t>0001-00007009</t>
  </si>
  <si>
    <t>0001-00008009</t>
  </si>
  <si>
    <t>0001-00008010</t>
  </si>
  <si>
    <t>0001-00007010</t>
  </si>
  <si>
    <t>0001-00008011</t>
  </si>
  <si>
    <t>30-70064039-8</t>
  </si>
  <si>
    <t>0001-00007011</t>
  </si>
  <si>
    <t>0001-00008012</t>
  </si>
  <si>
    <t>30-70062492-5</t>
  </si>
  <si>
    <t>0001-00008013</t>
  </si>
  <si>
    <t>0001-00007012</t>
  </si>
  <si>
    <t>0001-00008014</t>
  </si>
  <si>
    <t>0001-00008015</t>
  </si>
  <si>
    <t>0001-00007013</t>
  </si>
  <si>
    <t>0001-00008016</t>
  </si>
  <si>
    <t>0001-00007014</t>
  </si>
  <si>
    <t>0001-00008017</t>
  </si>
  <si>
    <t>0001-00007015</t>
  </si>
  <si>
    <t>0001-00008018</t>
  </si>
  <si>
    <t>0001-00007016</t>
  </si>
  <si>
    <t>0001-00008019</t>
  </si>
  <si>
    <t>0001-00008020</t>
  </si>
  <si>
    <t>0001-00007017</t>
  </si>
  <si>
    <t>0001-00008021</t>
  </si>
  <si>
    <t>30-70066249-2</t>
  </si>
  <si>
    <t>0001-00007018</t>
  </si>
  <si>
    <t>0001-00008022</t>
  </si>
  <si>
    <t>0001-00007019</t>
  </si>
  <si>
    <t>0001-00008023</t>
  </si>
  <si>
    <t>0001-00007020</t>
  </si>
  <si>
    <t>0001-00008024</t>
  </si>
  <si>
    <t>0001-00007021</t>
  </si>
  <si>
    <t>30-70064702-7</t>
  </si>
  <si>
    <t>0001-00008025</t>
  </si>
  <si>
    <t>0001-00007022</t>
  </si>
  <si>
    <t>0001-00008026</t>
  </si>
  <si>
    <t>0001-00007023</t>
  </si>
  <si>
    <t>0001-00008027</t>
  </si>
  <si>
    <t>0001-00007024</t>
  </si>
  <si>
    <t>COSTANERA GRILL · AGOSTO 2026 · REGISTRO DE COMPRAS Y GASTOS (SIMULACIÓN)</t>
  </si>
  <si>
    <t>0001-00008028</t>
  </si>
  <si>
    <t>0001-00007025</t>
  </si>
  <si>
    <t>0001-00008029</t>
  </si>
  <si>
    <t>0001-00007026</t>
  </si>
  <si>
    <t>0001-00007027</t>
  </si>
  <si>
    <t>0001-00008030</t>
  </si>
  <si>
    <t>0001-00007028</t>
  </si>
  <si>
    <t>0001-00008031</t>
  </si>
  <si>
    <t>30-70068459-4</t>
  </si>
  <si>
    <t>0001-00007029</t>
  </si>
  <si>
    <t>0001-00007030</t>
  </si>
  <si>
    <t>0001-00008032</t>
  </si>
  <si>
    <t>0001-00008033</t>
  </si>
  <si>
    <t>0001-00007031</t>
  </si>
  <si>
    <t>30-70066912-1</t>
  </si>
  <si>
    <t>0001-00008034</t>
  </si>
  <si>
    <t>0001-00008035</t>
  </si>
  <si>
    <t>0001-00007032</t>
  </si>
  <si>
    <t>0001-00008036</t>
  </si>
  <si>
    <t>0001-00007033</t>
  </si>
  <si>
    <t>0001-00008037</t>
  </si>
  <si>
    <t>0001-00008038</t>
  </si>
  <si>
    <t>0001-00007034</t>
  </si>
  <si>
    <t>0001-00008039</t>
  </si>
  <si>
    <t>0001-00007035</t>
  </si>
  <si>
    <t>0001-00008040</t>
  </si>
  <si>
    <t>0001-00008041</t>
  </si>
  <si>
    <t>30-70070669-6</t>
  </si>
  <si>
    <t>0001-00007036</t>
  </si>
  <si>
    <t>0001-00008042</t>
  </si>
  <si>
    <t>0001-00008043</t>
  </si>
  <si>
    <t>0001-00007037</t>
  </si>
  <si>
    <t>0001-00008044</t>
  </si>
  <si>
    <t>0001-00007038</t>
  </si>
  <si>
    <t>0001-00008045</t>
  </si>
  <si>
    <t>0001-00008046</t>
  </si>
  <si>
    <t>0001-00007039</t>
  </si>
  <si>
    <t>0001-00008047</t>
  </si>
  <si>
    <t>0001-00007040</t>
  </si>
  <si>
    <t>0001-00008048</t>
  </si>
  <si>
    <t>0001-00008049</t>
  </si>
  <si>
    <t>0001-00007041</t>
  </si>
  <si>
    <t>30-70069122-3</t>
  </si>
  <si>
    <t>0001-00008050</t>
  </si>
  <si>
    <t>0001-00007042</t>
  </si>
  <si>
    <t>0001-00008051</t>
  </si>
  <si>
    <t>30-70072879-8</t>
  </si>
  <si>
    <t>0001-00008052</t>
  </si>
  <si>
    <t>0001-00007043</t>
  </si>
  <si>
    <t>0001-00008053</t>
  </si>
  <si>
    <t>0001-00008054</t>
  </si>
  <si>
    <t>0001-00007044</t>
  </si>
  <si>
    <t>0001-00007045</t>
  </si>
  <si>
    <t>0001-00007046</t>
  </si>
  <si>
    <t>0001-00007047</t>
  </si>
  <si>
    <t>0001-00007048</t>
  </si>
  <si>
    <t>0001-00007049</t>
  </si>
  <si>
    <t>0001-00007050</t>
  </si>
  <si>
    <t>0001-00007051</t>
  </si>
  <si>
    <t>30-70071332-5</t>
  </si>
  <si>
    <t>0001-00007052</t>
  </si>
  <si>
    <t>0001-00007053</t>
  </si>
  <si>
    <t>COSTANERA GRILL · SEPTIEMBRE 2026 · REGISTRO DE VENTAS (SIMULACIÓN)</t>
  </si>
  <si>
    <t>0001-00007054</t>
  </si>
  <si>
    <t>Datos inventados para capacitación. Sin validez fiscal ni contable. Cargado hasta el 23/09 inclusive; el 24 se trabaja en clase.</t>
  </si>
  <si>
    <t>0001-00009001</t>
  </si>
  <si>
    <t>0001-00009002</t>
  </si>
  <si>
    <t>0001-00009003</t>
  </si>
  <si>
    <t>Cena corporativa</t>
  </si>
  <si>
    <t>0001-00009004</t>
  </si>
  <si>
    <t>0001-00009005</t>
  </si>
  <si>
    <t>0001-00009006</t>
  </si>
  <si>
    <t>0001-00009007</t>
  </si>
  <si>
    <t>0001-00009008</t>
  </si>
  <si>
    <t>Eventos Costanera (FICTICIO)</t>
  </si>
  <si>
    <t>30-70065129-7</t>
  </si>
  <si>
    <t>0001-00009009</t>
  </si>
  <si>
    <t>0001-00009010</t>
  </si>
  <si>
    <t>0001-00009011</t>
  </si>
  <si>
    <t>Almuerzo de equipo</t>
  </si>
  <si>
    <t>0001-00009012</t>
  </si>
  <si>
    <t>0001-00009013</t>
  </si>
  <si>
    <t>0001-00009014</t>
  </si>
  <si>
    <t>0001-00009015</t>
  </si>
  <si>
    <t>0001-00009016</t>
  </si>
  <si>
    <t>30-70068459-2</t>
  </si>
  <si>
    <t>0001-00009017</t>
  </si>
  <si>
    <t>0001-00009018</t>
  </si>
  <si>
    <t>0001-00009019</t>
  </si>
  <si>
    <t>0001-00009020</t>
  </si>
  <si>
    <t>0001-00009021</t>
  </si>
  <si>
    <t>0001-00009022</t>
  </si>
  <si>
    <t>0001-00009023</t>
  </si>
  <si>
    <t>0001-00009024</t>
  </si>
  <si>
    <t>Oficinas del Puerto (FICTICIAS)</t>
  </si>
  <si>
    <t>30-70060679-4</t>
  </si>
  <si>
    <t>0001-00009025</t>
  </si>
  <si>
    <t>0001-00009026</t>
  </si>
  <si>
    <t>0001-00009027</t>
  </si>
  <si>
    <t>0001-00009028</t>
  </si>
  <si>
    <t>0001-00009029</t>
  </si>
  <si>
    <t>0001-00009030</t>
  </si>
  <si>
    <t>0001-00009031</t>
  </si>
  <si>
    <t>0001-00009032</t>
  </si>
  <si>
    <t>0001-00009033</t>
  </si>
  <si>
    <t>0001-00009034</t>
  </si>
  <si>
    <t>0001-00009035</t>
  </si>
  <si>
    <t>0001-00009036</t>
  </si>
  <si>
    <t>0001-00009037</t>
  </si>
  <si>
    <t>0001-00009038</t>
  </si>
  <si>
    <t>0001-00009039</t>
  </si>
  <si>
    <t>0001-00009040</t>
  </si>
  <si>
    <t>30-70067349-1</t>
  </si>
  <si>
    <t>0001-00009041</t>
  </si>
  <si>
    <t>0001-00009042</t>
  </si>
  <si>
    <t>0001-00009043</t>
  </si>
  <si>
    <t>0001-00009044</t>
  </si>
  <si>
    <t>0001-00009045</t>
  </si>
  <si>
    <t>0001-00009046</t>
  </si>
  <si>
    <t>0001-00009047</t>
  </si>
  <si>
    <t>0001-00009048</t>
  </si>
  <si>
    <t>Naviera del Plata (FICTICIA)</t>
  </si>
  <si>
    <t>30-70069569-3</t>
  </si>
  <si>
    <t>0001-00009049</t>
  </si>
  <si>
    <t>0001-00009050</t>
  </si>
  <si>
    <t>0001-00009051</t>
  </si>
  <si>
    <t>0001-00009052</t>
  </si>
  <si>
    <t>0001-00009053</t>
  </si>
  <si>
    <t>0001-00009054</t>
  </si>
  <si>
    <t>0001-00009055</t>
  </si>
  <si>
    <t>COSTANERA GRILL · SEPTIEMBRE 2026 · REGISTRO DE COMPRAS Y GASTOS (SIMULACIÓN)</t>
  </si>
  <si>
    <t>Proveedores y comprobantes ficticios. Alícuotas ilustrativas. Cargado hasta el 23/09 inclusive; el 24 se trabaja en clase.</t>
  </si>
  <si>
    <t>COSTANERA GRILL · CIERRE DE CAJA · 23/09/2026 (MODELO FICTICIO)</t>
  </si>
  <si>
    <t>Ejemplo manual previo al ejercicio del 24/09. Importes y operaciones ficticios, sin validez fiscal ni contable. Los cupones de crédito se controlan por separado porque su acreditación es posterior.</t>
  </si>
  <si>
    <t>Frigorífico del Sur (FICTICIO)</t>
  </si>
  <si>
    <t>Compra de carne vacuna para operación</t>
  </si>
  <si>
    <t>Movimiento</t>
  </si>
  <si>
    <t>N.º comprobante</t>
  </si>
  <si>
    <t>Concepto / contraparte</t>
  </si>
  <si>
    <t>Importe (ARS)</t>
  </si>
  <si>
    <t>Factura / vale</t>
  </si>
  <si>
    <t>Pago / recibo</t>
  </si>
  <si>
    <t>Control documental</t>
  </si>
  <si>
    <t>CONTROL INTEGRAL DE CAJA Y COBRANZAS</t>
  </si>
  <si>
    <t>23/09/2026</t>
  </si>
  <si>
    <t>Saldo inicial</t>
  </si>
  <si>
    <t>Bebidas Puerto (FICTICIO)</t>
  </si>
  <si>
    <t>Apertura de turno</t>
  </si>
  <si>
    <t>Efectivo contado al inicio</t>
  </si>
  <si>
    <t>Reposición de bebidas</t>
  </si>
  <si>
    <t>Nota de apertura</t>
  </si>
  <si>
    <t>Recuento inicial</t>
  </si>
  <si>
    <t>Apertura informada</t>
  </si>
  <si>
    <t>ARQUEO DE EFECTIVO</t>
  </si>
  <si>
    <t>Fibra Madero (FICTICIO)</t>
  </si>
  <si>
    <t>Servicio de internet</t>
  </si>
  <si>
    <t>Ingreso efectivo</t>
  </si>
  <si>
    <t>Factura B 0001-00000001</t>
  </si>
  <si>
    <t>Venta de salón · cobro en efectivo</t>
  </si>
  <si>
    <t>Comprobante simulado</t>
  </si>
  <si>
    <t>Recibo de caja simulado</t>
  </si>
  <si>
    <t>Débito automático</t>
  </si>
  <si>
    <t>Venta ficticia; revisar importe</t>
  </si>
  <si>
    <t>Saldo inicial de caja</t>
  </si>
  <si>
    <t>Carnes del Plata (FICTICIO)</t>
  </si>
  <si>
    <t>Compra de cortes y achuras</t>
  </si>
  <si>
    <t>Energía Puerto (FICTICIO)</t>
  </si>
  <si>
    <t>Servicio eléctrico</t>
  </si>
  <si>
    <t>Envases Puerto (FICTICIO)</t>
  </si>
  <si>
    <t>Envases y descartables</t>
  </si>
  <si>
    <t>Factura A 0001-00000002</t>
  </si>
  <si>
    <t>(+) Ventas cobradas en efectivo</t>
  </si>
  <si>
    <t>Verdulería Costera (FICTICIO)</t>
  </si>
  <si>
    <t>Verduras y condimentos</t>
  </si>
  <si>
    <t>Gas Puerto (FICTICIO)</t>
  </si>
  <si>
    <t>Factura B 0001-00000003</t>
  </si>
  <si>
    <t>Servicio de gas</t>
  </si>
  <si>
    <t>(-) Pagos en efectivo con factura</t>
  </si>
  <si>
    <t>Factura A 0001-00000004</t>
  </si>
  <si>
    <t>(-) Pagos en efectivo sin factura</t>
  </si>
  <si>
    <t>Panificados Madero (FICTICIO)</t>
  </si>
  <si>
    <t>Panificados para servicio</t>
  </si>
  <si>
    <t>Limpieza Sur (FICTICIO)</t>
  </si>
  <si>
    <t>Factura B 0001-00000005</t>
  </si>
  <si>
    <t>Artículos de limpieza</t>
  </si>
  <si>
    <t>Saldo teórico de caja al cierre</t>
  </si>
  <si>
    <t>Alquiler Puerto Madero (FICTICIO)</t>
  </si>
  <si>
    <t>Alquiler del local</t>
  </si>
  <si>
    <t>Factura A 0001-00000006</t>
  </si>
  <si>
    <t>Efectivo contado por la cajera</t>
  </si>
  <si>
    <t>Factura B 0001-00000007</t>
  </si>
  <si>
    <t>Diferencia de caja</t>
  </si>
  <si>
    <t>Compra de carne y achuras</t>
  </si>
  <si>
    <t>Factura A 0001-00000008</t>
  </si>
  <si>
    <t>Mantenimiento Parrilla (FICTICIO)</t>
  </si>
  <si>
    <t>Resultado del arqueo</t>
  </si>
  <si>
    <t>Reparación y mantenimiento</t>
  </si>
  <si>
    <t>Factura B 0001-00000009</t>
  </si>
  <si>
    <t>Seguridad Delta (FICTICIO)</t>
  </si>
  <si>
    <t>CONTROL DE COBRANZAS POR OTROS MEDIOS</t>
  </si>
  <si>
    <t>Servicio de monitoreo</t>
  </si>
  <si>
    <t>Factura A 0001-00000010</t>
  </si>
  <si>
    <t>Tarjeta de crédito: 15 cupones</t>
  </si>
  <si>
    <t>Factura B 0001-00000011</t>
  </si>
  <si>
    <t>Acreditación de tarjeta de crédito visible el 23/09</t>
  </si>
  <si>
    <t>Factura A 0001-00000012</t>
  </si>
  <si>
    <t>Transferencias informadas: 7 operaciones</t>
  </si>
  <si>
    <t>Residuos Puerto (FICTICIO)</t>
  </si>
  <si>
    <t>30-61827364-9</t>
  </si>
  <si>
    <t>Retiro de residuos comerciales</t>
  </si>
  <si>
    <t>Factura B 0001-00000013</t>
  </si>
  <si>
    <t>Transferencias acreditadas en extracto: 6</t>
  </si>
  <si>
    <t>Factura A 0001-00000014</t>
  </si>
  <si>
    <t>Transferencia pendiente de acreditación</t>
  </si>
  <si>
    <t>Factura B 0001-00000015</t>
  </si>
  <si>
    <t>Mercado Pago: 4 operaciones</t>
  </si>
  <si>
    <t>Egreso efectivo</t>
  </si>
  <si>
    <t>Factura A 0004-00001190</t>
  </si>
  <si>
    <t>Compra de carne · Frigorífico Río Sur</t>
  </si>
  <si>
    <t>Factura simulada</t>
  </si>
  <si>
    <t>Recibo de pago simulado</t>
  </si>
  <si>
    <t>Factura y pago ficticios</t>
  </si>
  <si>
    <t>Débitos bancarios del día (pagos a proveedores)</t>
  </si>
  <si>
    <t>Factura A 0004-00001191</t>
  </si>
  <si>
    <t>Bebidas · Distribuidora del Puerto</t>
  </si>
  <si>
    <t>Extracto bancario</t>
  </si>
  <si>
    <t>Control ficticio; sin archivo adjunto</t>
  </si>
  <si>
    <t>Factura B 0004-00001192</t>
  </si>
  <si>
    <t>Verduras y condimentos · Huerta Fresca</t>
  </si>
  <si>
    <t>Factura A 0004-00001193</t>
  </si>
  <si>
    <t>Limpieza y descartables · Suministros Delta</t>
  </si>
  <si>
    <t>Factura B 0004-00001194</t>
  </si>
  <si>
    <t>Gas envasado · Gastronómica Río</t>
  </si>
  <si>
    <t>CG-CAJA-023</t>
  </si>
  <si>
    <t>Carbón para parrilla · Carbones del Puerto</t>
  </si>
  <si>
    <t>Sin factura</t>
  </si>
  <si>
    <t>Vale interno simulado</t>
  </si>
  <si>
    <t>Pendiente de factura proveedor</t>
  </si>
  <si>
    <t>Venta tarjeta crédito</t>
  </si>
  <si>
    <t>Cupón simulado 001</t>
  </si>
  <si>
    <t>Venta con tarjeta de crédito · operación 1</t>
  </si>
  <si>
    <t>Comprobante de venta simulado</t>
  </si>
  <si>
    <t>Cupón simulado</t>
  </si>
  <si>
    <t>Acreditación posterior; no incluir en banco del día</t>
  </si>
  <si>
    <t>SÍNTESIS DE CAJA PARA ENVIAR AL DUEÑO</t>
  </si>
  <si>
    <t>Cupón simulado 002</t>
  </si>
  <si>
    <t>Venta con tarjeta de crédito · operación 2</t>
  </si>
  <si>
    <t>INGRESOS Y COBROS DEL DÍA</t>
  </si>
  <si>
    <t>Cupón simulado 003</t>
  </si>
  <si>
    <t>Venta con tarjeta de crédito · operación 3</t>
  </si>
  <si>
    <t>(+) Efectivo cobrado en ARS</t>
  </si>
  <si>
    <t>Cupón simulado 004</t>
  </si>
  <si>
    <t>Venta con tarjeta de crédito · operación 4</t>
  </si>
  <si>
    <t>(+) Transferencias acreditadas</t>
  </si>
  <si>
    <t>Cupón simulado 005</t>
  </si>
  <si>
    <t>Venta con tarjeta de crédito · operación 5</t>
  </si>
  <si>
    <t>(+) Cobros por Mercado Pago</t>
  </si>
  <si>
    <t>Cupón simulado 006</t>
  </si>
  <si>
    <t>Venta con tarjeta de crédito · operación 6</t>
  </si>
  <si>
    <t>Total ingresos directos del día</t>
  </si>
  <si>
    <t>Cupón simulado 007</t>
  </si>
  <si>
    <t>Venta con tarjeta de crédito · operación 7</t>
  </si>
  <si>
    <t>EGRESOS Y PAGOS DEL DÍA</t>
  </si>
  <si>
    <t>Cupón simulado 008</t>
  </si>
  <si>
    <t>Venta con tarjeta de crédito · operación 8</t>
  </si>
  <si>
    <t>(-) Pagos en efectivo</t>
  </si>
  <si>
    <t>Cupón simulado 009</t>
  </si>
  <si>
    <t>Venta con tarjeta de crédito · operación 9</t>
  </si>
  <si>
    <t>(-) Débitos bancarios del día</t>
  </si>
  <si>
    <t>Cupón simulado 010</t>
  </si>
  <si>
    <t>Venta con tarjeta de crédito · operación 10</t>
  </si>
  <si>
    <t>(-) Pagos por Mercado Pago</t>
  </si>
  <si>
    <t>Cupón simulado 011</t>
  </si>
  <si>
    <t>Venta con tarjeta de crédito · operación 11</t>
  </si>
  <si>
    <t>Total egresos del día</t>
  </si>
  <si>
    <t>Cupón simulado 012</t>
  </si>
  <si>
    <t>Venta con tarjeta de crédito · operación 12</t>
  </si>
  <si>
    <t>MOVIMIENTO NETO DIRECTO DEL DÍA (ARS)</t>
  </si>
  <si>
    <t>Cupón simulado 013</t>
  </si>
  <si>
    <t>Venta con tarjeta de crédito · operación 13</t>
  </si>
  <si>
    <t>Efectivo contado al cierre (ARS)</t>
  </si>
  <si>
    <t>Cupón simulado 014</t>
  </si>
  <si>
    <t>Venta con tarjeta de crédito · operación 14</t>
  </si>
  <si>
    <t>Cupones de crédito pendientes de acreditación</t>
  </si>
  <si>
    <t>Cupón simulado 015</t>
  </si>
  <si>
    <t>Venta con tarjeta de crédito · operación 15</t>
  </si>
  <si>
    <t>Notas de control</t>
  </si>
  <si>
    <t>Transferencia pendiente: $245.000. Gasto en carbón sin factura: $35.000.</t>
  </si>
  <si>
    <t>Venta transferencia</t>
  </si>
  <si>
    <t>Transferencia simulada 001</t>
  </si>
  <si>
    <t>Venta cobrada por transferencia</t>
  </si>
  <si>
    <t>Extracto bancario simulado</t>
  </si>
  <si>
    <t>Acreditada en extracto</t>
  </si>
  <si>
    <t>Moneda extranjera</t>
  </si>
  <si>
    <t>Transferencia simulada 002</t>
  </si>
  <si>
    <t>Transferencia simulada 003</t>
  </si>
  <si>
    <t>Transferencia simulada 004</t>
  </si>
  <si>
    <t>Transferencia simulada 005</t>
  </si>
  <si>
    <t>Transferencia simulada 006</t>
  </si>
  <si>
    <t>Transferencia simulada 007</t>
  </si>
  <si>
    <t>Venta cobrada por transferencia · pendiente de acreditación</t>
  </si>
  <si>
    <t>Sin acreditación al cierre</t>
  </si>
  <si>
    <t>Pendiente de acreditación</t>
  </si>
  <si>
    <t>Venta Mercado Pago</t>
  </si>
  <si>
    <t>MP-2309-001</t>
  </si>
  <si>
    <t>Venta cobrada por Mercado Pago · operación 1</t>
  </si>
  <si>
    <t>Detalle MP simulado</t>
  </si>
  <si>
    <t>Acreditada en cuenta de Mercado Pago</t>
  </si>
  <si>
    <t>MP-2309-002</t>
  </si>
  <si>
    <t>Venta cobrada por Mercado Pago · operación 2</t>
  </si>
  <si>
    <t>MP-2309-003</t>
  </si>
  <si>
    <t>Venta cobrada por Mercado Pago · operación 3</t>
  </si>
  <si>
    <t>MP-2309-004</t>
  </si>
  <si>
    <t>Venta cobrada por Mercado Pago · operación 4</t>
  </si>
  <si>
    <t>Factura A 0001-00000025</t>
  </si>
  <si>
    <t>Acreditada en extracto bancario</t>
  </si>
  <si>
    <t>Factura B 0001-00000026</t>
  </si>
  <si>
    <t>Factura A 0001-00000029</t>
  </si>
  <si>
    <t>Factura B 0001-00000030</t>
  </si>
  <si>
    <t>Factura A 0001-00000017</t>
  </si>
  <si>
    <t>Pendiente: no figura en extracto</t>
  </si>
  <si>
    <t>Venta cobrada por Mercado Pago</t>
  </si>
  <si>
    <t>Constancia en comprobante de venta</t>
  </si>
  <si>
    <t>Cobro electrónico; no integra efectivo</t>
  </si>
  <si>
    <t>Factura A 0001-00000016</t>
  </si>
  <si>
    <t>Factura A 0001-00000020</t>
  </si>
  <si>
    <t>Factura A 0001-00000024</t>
  </si>
  <si>
    <t>Factura A 0001-00000028</t>
  </si>
  <si>
    <t>Factura B 0001-00000004</t>
  </si>
  <si>
    <t>Factura B 0001-00000008</t>
  </si>
  <si>
    <t>Factura B 0001-00000012</t>
  </si>
  <si>
    <t>Factura B 0001-00000016</t>
  </si>
  <si>
    <t>Factura B 0001-00000020</t>
  </si>
  <si>
    <t>Factura B 0001-00000024</t>
  </si>
  <si>
    <t>Factura B 0001-00000028</t>
  </si>
  <si>
    <t>24/09/2026</t>
  </si>
  <si>
    <t>Egreso bancario</t>
  </si>
  <si>
    <t>Factura A 0004-00001201</t>
  </si>
  <si>
    <t>Pago a Frigorífico del Sur · proveedor de carnes</t>
  </si>
  <si>
    <t>Anotado en nota y extracto</t>
  </si>
  <si>
    <t>Factura A 0004-00001202</t>
  </si>
  <si>
    <t>Pago a Distribuidora Río de la Plata · bebidas</t>
  </si>
  <si>
    <t>Factura A 0004-00001203</t>
  </si>
  <si>
    <t>Pago de Energía Metropolitana</t>
  </si>
  <si>
    <t>Factura A 0004-00001204</t>
  </si>
  <si>
    <t>Pago a Descartables Puerto · insumos</t>
  </si>
  <si>
    <t>Débito 17:48</t>
  </si>
  <si>
    <t>Solo extracto; no consta en nota de caja</t>
  </si>
  <si>
    <t>Débito 19:02</t>
  </si>
  <si>
    <t>Limpieza del local</t>
  </si>
  <si>
    <t>Débito 20:34</t>
  </si>
  <si>
    <t>Débito 22:05</t>
  </si>
  <si>
    <t>Comisión y mantenimiento de cuenta</t>
  </si>
  <si>
    <t>COSTANERA GRILL · RESUMEN MENSUAL 2026 (SIMULACIÓN)</t>
  </si>
  <si>
    <t>Ventas facturadas e IVA estimado. Septiembre contiene datos hasta el 23/09 inclusive.</t>
  </si>
  <si>
    <t/>
  </si>
  <si>
    <t>Mes</t>
  </si>
  <si>
    <t>Ventas facturadas (total)</t>
  </si>
  <si>
    <t>Estimación IVA del 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</si>
  <si>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</si>
  <si>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</si>
  <si>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</si>
  <si>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</si>
  <si>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</si>
  <si>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</si>
  <si>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</si>
  <si>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</si>
  <si>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</si>
  <si>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Estimación de práctica: IVA débito menos IVA crédito. No es una liquidación fiscal ni reemplaza controles profesionales.</t>
  </si>
  <si>
    <t>Enero-agosto: meses completos simulados. Septiembre: período parcial al 23/09; al cargar las operaciones del 24, las fórmulas y el gráfico se actualizarán.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</si>
</sst>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&quot;$&quot; #,##0.00"/>
    <numFmt numFmtId="166" formatCode="0.0%"/>
    <numFmt numFmtId="167" formatCode="&quot;US$&quot; #,##0.00"/>
  </numFmts>
  <fonts count="24">
    <font>
      <sz val="11.0"/>
      <color rgb="FF000000"/>
      <name val="Carlito"/>
      <scheme val="minor"/>
    </font>
    <font>
      <b/>
      <sz val="10.0"/>
      <color rgb="FFFFFFFF"/>
      <name val="Aptos"/>
    </font>
    <font>
      <i/>
      <sz val="10.0"/>
      <color rgb="FF666666"/>
      <name val="Aptos"/>
    </font>
    <font>
      <b/>
      <sz val="15.0"/>
      <color rgb="FFFFFFFF"/>
      <name val="Aptos"/>
    </font>
    <font>
      <sz val="10.0"/>
      <color theme="1"/>
      <name val="Aptos"/>
    </font>
    <font>
      <i/>
      <sz val="10.0"/>
      <color rgb="FF4F4C4D"/>
      <name val="Aptos"/>
    </font>
    <font/>
    <font>
      <b/>
      <sz val="10.0"/>
      <color rgb="FF285946"/>
      <name val="Aptos"/>
    </font>
    <font>
      <sz val="10.0"/>
      <color rgb="FF4E4B4D"/>
      <name val="Aptos"/>
    </font>
    <font>
      <u/>
      <sz val="10.0"/>
      <color rgb="FF457886"/>
      <name val="Aptos"/>
    </font>
    <font>
      <u/>
      <sz val="10.0"/>
      <color rgb="FF457886"/>
      <name val="Aptos"/>
    </font>
    <font>
      <sz val="10.0"/>
      <color rgb="FF4E4B4D"/>
      <name val="Arial"/>
    </font>
    <font>
      <u/>
      <color rgb="FF457886"/>
      <name val="Carlito"/>
      <scheme val="minor"/>
    </font>
    <font>
      <i/>
      <sz val="9.0"/>
      <color theme="1"/>
      <name val="Aptos"/>
    </font>
    <font>
      <b/>
      <sz val="10.0"/>
      <color rgb="FFFFFFFF"/>
      <name val="Arial"/>
    </font>
    <font>
      <b/>
      <color theme="1"/>
      <name val="Carlito"/>
      <scheme val="minor"/>
    </font>
    <font>
      <sz val="10.0"/>
      <color theme="1"/>
      <name val="Arial"/>
    </font>
    <font>
      <b/>
      <color rgb="FFFFFFFF"/>
      <name val="Carlito"/>
      <scheme val="minor"/>
    </font>
    <font>
      <i/>
      <sz val="9.0"/>
      <color theme="1"/>
      <name val="Arial"/>
    </font>
    <font>
      <u/>
      <sz val="10.0"/>
      <color rgb="FF0000FF"/>
      <name val="Aptos"/>
    </font>
    <font>
      <u/>
      <sz val="10.0"/>
      <color rgb="FF0000FF"/>
      <name val="Aptos"/>
    </font>
    <font>
      <b/>
      <sz val="11.0"/>
      <color rgb="FFFFFFFF"/>
      <name val="Arial"/>
    </font>
    <font>
      <i/>
      <sz val="10.0"/>
      <color rgb="FF4C4C4C"/>
      <name val="Arial"/>
    </font>
    <font>
      <color theme="1"/>
      <name val="Carlito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285A47"/>
        <bgColor rgb="FF285A47"/>
      </patternFill>
    </fill>
    <fill>
      <patternFill patternType="solid">
        <fgColor rgb="FF285946"/>
        <bgColor rgb="FF285946"/>
      </patternFill>
    </fill>
    <fill>
      <patternFill patternType="solid">
        <fgColor rgb="FFA7D5C1"/>
        <bgColor rgb="FFA7D5C1"/>
      </patternFill>
    </fill>
    <fill>
      <patternFill patternType="solid">
        <fgColor rgb="FFFFFFFF"/>
        <bgColor rgb="FFFFFFFF"/>
      </patternFill>
    </fill>
    <fill>
      <patternFill patternType="solid">
        <fgColor rgb="FFE8F2EA"/>
        <bgColor rgb="FFE8F2EA"/>
      </patternFill>
    </fill>
    <fill>
      <patternFill patternType="solid">
        <fgColor rgb="FFDFEBE3"/>
        <bgColor rgb="FFDFEBE3"/>
      </patternFill>
    </fill>
    <fill>
      <patternFill patternType="solid">
        <fgColor rgb="FFEDF2ED"/>
        <bgColor rgb="FFEDF2ED"/>
      </patternFill>
    </fill>
  </fills>
  <borders count="12">
    <border/>
    <border>
      <left style="medium">
        <color rgb="FF285946"/>
      </left>
      <top style="medium">
        <color rgb="FF285946"/>
      </top>
      <bottom style="thin">
        <color rgb="FFDBE0DB"/>
      </bottom>
    </border>
    <border>
      <right style="medium">
        <color rgb="FF285946"/>
      </right>
      <top style="medium">
        <color rgb="FF285946"/>
      </top>
      <bottom style="thin">
        <color rgb="FFDBE0DB"/>
      </bottom>
    </border>
    <border>
      <left style="medium">
        <color rgb="FF285946"/>
      </left>
      <top style="thin">
        <color rgb="FFDBE0DB"/>
      </top>
      <bottom style="thin">
        <color rgb="FFDBE0DB"/>
      </bottom>
    </border>
    <border>
      <right style="medium">
        <color rgb="FF285946"/>
      </right>
      <top style="thin">
        <color rgb="FFDBE0DB"/>
      </top>
      <bottom style="thin">
        <color rgb="FFDBE0DB"/>
      </bottom>
    </border>
    <border>
      <left style="medium">
        <color rgb="FF285946"/>
      </left>
      <top style="thin">
        <color rgb="FFDBE0DB"/>
      </top>
    </border>
    <border>
      <right style="medium">
        <color rgb="FF285946"/>
      </right>
      <top style="thin">
        <color rgb="FFDBE0DB"/>
      </top>
    </border>
    <border>
      <left style="medium">
        <color rgb="FF285946"/>
      </left>
    </border>
    <border>
      <right style="medium">
        <color rgb="FF285946"/>
      </right>
    </border>
    <border>
      <left style="thin">
        <color rgb="FFD3DBD3"/>
      </left>
      <top style="thin">
        <color rgb="FFD3DBD3"/>
      </top>
      <bottom style="thin">
        <color rgb="FFD3DBD3"/>
      </bottom>
    </border>
    <border>
      <right style="thin">
        <color rgb="FFD3DBD3"/>
      </right>
      <top style="thin">
        <color rgb="FFD3DBD3"/>
      </top>
      <bottom style="thin">
        <color rgb="FFD3DBD3"/>
      </bottom>
    </border>
    <border>
      <left style="thin">
        <color rgb="FFD3DBD3"/>
      </left>
      <right style="thin">
        <color rgb="FFD3DBD3"/>
      </right>
      <top style="thin">
        <color rgb="FFD3DBD3"/>
      </top>
      <bottom style="thin">
        <color rgb="FFD3DBD3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2" fontId="3" numFmtId="0" xfId="0" applyFill="1" applyFont="1"/>
    <xf borderId="0" fillId="0" fontId="4" numFmtId="0" xfId="0" applyFont="1"/>
    <xf borderId="0" fillId="2" fontId="1" numFmtId="0" xfId="0" applyAlignment="1" applyFill="1" applyFont="1">
      <alignment shrinkToFit="0" wrapText="1"/>
    </xf>
    <xf borderId="0" fillId="0" fontId="4" numFmtId="164" xfId="0" applyFont="1" applyNumberFormat="1"/>
    <xf borderId="0" fillId="0" fontId="4" numFmtId="1" xfId="0" applyFont="1" applyNumberFormat="1"/>
    <xf borderId="0" fillId="0" fontId="4" numFmtId="165" xfId="0" applyFont="1" applyNumberFormat="1"/>
    <xf borderId="0" fillId="0" fontId="4" numFmtId="166" xfId="0" applyFont="1" applyNumberFormat="1"/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Alignment="1" applyFill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2" fillId="0" fontId="6" numFmtId="0" xfId="0" applyBorder="1" applyFont="1"/>
    <xf quotePrefix="1"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5" xfId="0" applyAlignment="1" applyFont="1" applyNumberFormat="1">
      <alignment horizontal="right" readingOrder="0" shrinkToFit="0" vertical="center" wrapText="1"/>
    </xf>
    <xf borderId="3" fillId="4" fontId="7" numFmtId="0" xfId="0" applyAlignment="1" applyBorder="1" applyFill="1" applyFont="1">
      <alignment horizontal="left" readingOrder="0" shrinkToFit="0" vertical="center" wrapText="1"/>
    </xf>
    <xf borderId="4" fillId="0" fontId="6" numFmtId="0" xfId="0" applyBorder="1" applyFont="1"/>
    <xf borderId="3" fillId="5" fontId="8" numFmtId="0" xfId="0" applyAlignment="1" applyBorder="1" applyFill="1" applyFont="1">
      <alignment horizontal="left" readingOrder="0" shrinkToFit="0" vertical="center" wrapText="1"/>
    </xf>
    <xf borderId="4" fillId="5" fontId="8" numFmtId="165" xfId="0" applyAlignment="1" applyBorder="1" applyFill="1" applyFont="1" applyNumberFormat="1">
      <alignment horizontal="right" readingOrder="0" shrinkToFit="0" vertical="center" wrapText="1"/>
    </xf>
    <xf borderId="4" fillId="5" fontId="8" numFmtId="165" xfId="0" applyAlignment="1" applyBorder="1" applyFill="1" applyFont="1" applyNumberFormat="1">
      <alignment horizontal="right" shrinkToFit="0" vertical="center" wrapText="1"/>
    </xf>
    <xf borderId="3" fillId="6" fontId="7" numFmtId="0" xfId="0" applyAlignment="1" applyBorder="1" applyFill="1" applyFont="1">
      <alignment horizontal="left" readingOrder="0" shrinkToFit="0" vertical="center" wrapText="1"/>
    </xf>
    <xf borderId="4" fillId="6" fontId="7" numFmtId="0" xfId="0" applyAlignment="1" applyBorder="1" applyFill="1" applyFont="1">
      <alignment horizontal="left" shrinkToFit="0" vertical="center" wrapText="1"/>
    </xf>
    <xf borderId="4" fillId="5" fontId="9" numFmtId="165" xfId="0" applyAlignment="1" applyBorder="1" applyFill="1" applyFont="1" applyNumberFormat="1">
      <alignment horizontal="left" readingOrder="0" shrinkToFit="0" vertical="center" wrapText="1"/>
    </xf>
    <xf borderId="4" fillId="5" fontId="10" numFmtId="0" xfId="0" applyAlignment="1" applyBorder="1" applyFill="1" applyFont="1">
      <alignment horizontal="left" shrinkToFit="0" vertical="center" wrapText="1"/>
    </xf>
    <xf borderId="5" fillId="5" fontId="11" numFmtId="0" xfId="0" applyAlignment="1" applyBorder="1" applyFill="1" applyFont="1">
      <alignment horizontal="left" readingOrder="0" shrinkToFit="0" vertical="center" wrapText="1"/>
    </xf>
    <xf borderId="6" fillId="5" fontId="12" numFmtId="0" xfId="0" applyAlignment="1" applyBorder="1" applyFill="1" applyFont="1">
      <alignment horizontal="left" readingOrder="0" shrinkToFit="0" vertical="center" wrapText="1"/>
    </xf>
    <xf borderId="7" fillId="5" fontId="13" numFmtId="0" xfId="0" applyAlignment="1" applyBorder="1" applyFill="1" applyFont="1">
      <alignment horizontal="left" readingOrder="0" shrinkToFit="0" vertical="center" wrapText="1"/>
    </xf>
    <xf borderId="8" fillId="5" fontId="11" numFmtId="0" xfId="0" applyAlignment="1" applyBorder="1" applyFill="1" applyFont="1">
      <alignment horizontal="left" readingOrder="0" shrinkToFit="0" vertical="center" wrapText="1"/>
    </xf>
    <xf borderId="7" fillId="5" fontId="11" numFmtId="0" xfId="0" applyAlignment="1" applyBorder="1" applyFill="1" applyFont="1">
      <alignment horizontal="left" readingOrder="0" shrinkToFit="0" vertical="center" wrapText="1"/>
    </xf>
    <xf borderId="9" fillId="2" fontId="14" numFmtId="0" xfId="0" applyAlignment="1" applyBorder="1" applyFill="1" applyFont="1">
      <alignment horizontal="center" readingOrder="0" shrinkToFit="0" vertical="center" wrapText="1"/>
    </xf>
    <xf borderId="10" fillId="0" fontId="6" numFmtId="0" xfId="0" applyBorder="1" applyFont="1"/>
    <xf borderId="9" fillId="7" fontId="15" numFmtId="0" xfId="0" applyAlignment="1" applyBorder="1" applyFill="1" applyFont="1">
      <alignment readingOrder="0" shrinkToFit="0" vertical="center" wrapText="1"/>
    </xf>
    <xf borderId="9" fillId="5" fontId="16" numFmtId="0" xfId="0" applyAlignment="1" applyBorder="1" applyFill="1" applyFont="1">
      <alignment readingOrder="0" shrinkToFit="0" vertical="center" wrapText="1"/>
    </xf>
    <xf borderId="10" fillId="5" fontId="16" numFmtId="165" xfId="0" applyAlignment="1" applyBorder="1" applyFill="1" applyFont="1" applyNumberFormat="1">
      <alignment horizontal="right" shrinkToFit="0" vertical="center" wrapText="1"/>
    </xf>
    <xf borderId="10" fillId="5" fontId="16" numFmtId="165" xfId="0" applyAlignment="1" applyBorder="1" applyFill="1" applyFont="1" applyNumberFormat="1">
      <alignment horizontal="right" readingOrder="0" shrinkToFit="0" vertical="center" wrapText="1"/>
    </xf>
    <xf borderId="9" fillId="2" fontId="17" numFmtId="0" xfId="0" applyAlignment="1" applyBorder="1" applyFill="1" applyFont="1">
      <alignment readingOrder="0" shrinkToFit="0" vertical="center" wrapText="1"/>
    </xf>
    <xf borderId="10" fillId="2" fontId="17" numFmtId="165" xfId="0" applyAlignment="1" applyBorder="1" applyFill="1" applyFont="1" applyNumberFormat="1">
      <alignment horizontal="right" readingOrder="0" shrinkToFit="0" vertical="center" wrapText="1"/>
    </xf>
    <xf borderId="9" fillId="5" fontId="18" numFmtId="0" xfId="0" applyAlignment="1" applyBorder="1" applyFill="1" applyFont="1">
      <alignment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10" fillId="5" fontId="16" numFmtId="167" xfId="0" applyAlignment="1" applyBorder="1" applyFill="1" applyFont="1" applyNumberFormat="1">
      <alignment horizontal="right" readingOrder="0" shrinkToFit="0" vertical="center" wrapText="1"/>
    </xf>
    <xf borderId="10" fillId="5" fontId="16" numFmtId="167" xfId="0" applyAlignment="1" applyBorder="1" applyFill="1" applyFont="1" applyNumberFormat="1">
      <alignment horizontal="right" shrinkToFit="0" vertical="center" wrapText="1"/>
    </xf>
    <xf borderId="0" fillId="0" fontId="19" numFmtId="0" xfId="0" applyAlignment="1" applyFont="1">
      <alignment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2" fontId="21" numFmtId="0" xfId="0" applyAlignment="1" applyFill="1" applyFont="1">
      <alignment readingOrder="0" vertical="center"/>
    </xf>
    <xf borderId="0" fillId="0" fontId="22" numFmtId="0" xfId="0" applyAlignment="1" applyFont="1">
      <alignment readingOrder="0" shrinkToFit="0" wrapText="1"/>
    </xf>
    <xf borderId="0" fillId="0" fontId="23" numFmtId="0" xfId="0" applyAlignment="1" applyFont="1">
      <alignment readingOrder="0"/>
    </xf>
    <xf borderId="11" fillId="2" fontId="14" numFmtId="0" xfId="0" applyAlignment="1" applyBorder="1" applyFill="1" applyFont="1">
      <alignment readingOrder="0" shrinkToFit="0" vertical="center" wrapText="1"/>
    </xf>
    <xf borderId="11" fillId="0" fontId="23" numFmtId="0" xfId="0" applyAlignment="1" applyBorder="1" applyFont="1">
      <alignment readingOrder="0"/>
    </xf>
    <xf borderId="11" fillId="0" fontId="23" numFmtId="165" xfId="0" applyAlignment="1" applyBorder="1" applyFont="1" applyNumberFormat="1">
      <alignment horizontal="right"/>
    </xf>
    <xf borderId="0" fillId="8" fontId="18" numFmtId="0" xfId="0" applyAlignment="1" applyFill="1" applyFont="1">
      <alignment readingOrder="0" shrinkToFit="0" vertical="center" wrapText="1"/>
    </xf>
    <xf borderId="0" fillId="8" fontId="18" numFmtId="0" xfId="0" applyAlignment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Evolución de ventas facturadas por mes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'Resumen mensual'!$B$4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'Resumen mensual'!$A$5:$A$13</c:f>
            </c:strRef>
          </c:cat>
          <c:val>
            <c:numRef>
              <c:f>'Resumen mensual'!$B$5:$B$13</c:f>
              <c:numCache/>
            </c:numRef>
          </c:val>
          <c:smooth val="0"/>
        </c:ser>
        <c:axId val="1636146712"/>
        <c:axId val="1735222897"/>
      </c:lineChart>
      <c:catAx>
        <c:axId val="1636146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35222897"/>
      </c:catAx>
      <c:valAx>
        <c:axId val="1735222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Ventas facturadas (ARS)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636146712"/>
      </c:valAx>
    </c:plotArea>
    <c:plotVisOnly val="1"/>
  </c:chart>
</c:chartSpace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3</xdr:row>
      <xdr:rowOff>0</xdr:rowOff>
    </xdr:from>
    <xdr:ext cx="7239000" cy="4191000"/>
    <xdr:graphicFrame>
      <xdr:nvGraphicFramePr>
        <xdr:cNvPr id="1" name="Chart 1" title="Evolución de ventas facturadas por m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2" width="16.0"/>
    <col customWidth="1" min="3" max="3" width="11.25"/>
    <col customWidth="1" min="4" max="6" width="27.0"/>
    <col customWidth="1" min="7" max="7" width="6.75"/>
    <col customWidth="1" min="8" max="8" width="9.88"/>
    <col customWidth="1" min="9" max="9" width="9.0"/>
    <col customWidth="1" min="10" max="10" width="8.5"/>
    <col customWidth="1" min="11" max="11" width="9.38"/>
    <col customWidth="1" min="12" max="12" width="19.0"/>
    <col customWidth="1" min="13" max="26" width="8.63"/>
  </cols>
  <sheetData>
    <row r="1" ht="30.0" customHeight="1">
      <c r="A1" s="1" t="s">
        <v>3</v>
      </c>
    </row>
    <row r="2">
      <c r="A2" s="2" t="s">
        <v>4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31.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15</v>
      </c>
      <c r="K4" s="5" t="s">
        <v>16</v>
      </c>
      <c r="L4" s="5" t="s">
        <v>17</v>
      </c>
    </row>
    <row r="5">
      <c r="A5" s="6">
        <v>46023.0</v>
      </c>
      <c r="B5" s="4" t="s">
        <v>18</v>
      </c>
      <c r="C5" s="4" t="s">
        <v>23</v>
      </c>
      <c r="D5" s="4" t="s">
        <v>20</v>
      </c>
      <c r="E5" s="4" t="s">
        <v>24</v>
      </c>
      <c r="F5" s="4" t="s">
        <v>25</v>
      </c>
      <c r="G5" s="7">
        <v>1.0</v>
      </c>
      <c r="H5" s="8">
        <v>128737.0</v>
      </c>
      <c r="I5" s="9">
        <v>0.21</v>
      </c>
      <c r="J5" s="8">
        <f t="shared" ref="J5:J58" si="1">ROUND(H5*I5,2)</f>
        <v>27034.77</v>
      </c>
      <c r="K5" s="8">
        <f t="shared" ref="K5:K58" si="2">ROUND(H5+J5,2)</f>
        <v>155771.77</v>
      </c>
      <c r="L5" s="4" t="s">
        <v>40</v>
      </c>
    </row>
    <row r="6">
      <c r="A6" s="6">
        <v>46024.0</v>
      </c>
      <c r="B6" s="4" t="s">
        <v>37</v>
      </c>
      <c r="C6" s="4" t="s">
        <v>41</v>
      </c>
      <c r="D6" s="4" t="s">
        <v>42</v>
      </c>
      <c r="E6" s="4"/>
      <c r="F6" s="4" t="s">
        <v>22</v>
      </c>
      <c r="G6" s="7">
        <v>2.0</v>
      </c>
      <c r="H6" s="8">
        <v>51682.0</v>
      </c>
      <c r="I6" s="9">
        <v>0.21</v>
      </c>
      <c r="J6" s="8">
        <f t="shared" si="1"/>
        <v>10853.22</v>
      </c>
      <c r="K6" s="8">
        <f t="shared" si="2"/>
        <v>62535.22</v>
      </c>
      <c r="L6" s="4" t="s">
        <v>47</v>
      </c>
    </row>
    <row r="7">
      <c r="A7" s="6">
        <v>46025.0</v>
      </c>
      <c r="B7" s="4" t="s">
        <v>37</v>
      </c>
      <c r="C7" s="4" t="s">
        <v>48</v>
      </c>
      <c r="D7" s="4" t="s">
        <v>20</v>
      </c>
      <c r="E7" s="4"/>
      <c r="F7" s="4" t="s">
        <v>39</v>
      </c>
      <c r="G7" s="7">
        <v>3.0</v>
      </c>
      <c r="H7" s="8">
        <v>64628.0</v>
      </c>
      <c r="I7" s="9">
        <v>0.21</v>
      </c>
      <c r="J7" s="8">
        <f t="shared" si="1"/>
        <v>13571.88</v>
      </c>
      <c r="K7" s="8">
        <f t="shared" si="2"/>
        <v>78199.88</v>
      </c>
      <c r="L7" s="4" t="s">
        <v>36</v>
      </c>
    </row>
    <row r="8">
      <c r="A8" s="6">
        <v>46026.0</v>
      </c>
      <c r="B8" s="4" t="s">
        <v>37</v>
      </c>
      <c r="C8" s="4" t="s">
        <v>52</v>
      </c>
      <c r="D8" s="4" t="s">
        <v>54</v>
      </c>
      <c r="E8" s="4"/>
      <c r="F8" s="4" t="s">
        <v>46</v>
      </c>
      <c r="G8" s="7">
        <v>4.0</v>
      </c>
      <c r="H8" s="8">
        <v>77574.0</v>
      </c>
      <c r="I8" s="9">
        <v>0.21</v>
      </c>
      <c r="J8" s="8">
        <f t="shared" si="1"/>
        <v>16290.54</v>
      </c>
      <c r="K8" s="8">
        <f t="shared" si="2"/>
        <v>93864.54</v>
      </c>
      <c r="L8" s="4" t="s">
        <v>43</v>
      </c>
    </row>
    <row r="9">
      <c r="A9" s="6">
        <v>46027.0</v>
      </c>
      <c r="B9" s="4" t="s">
        <v>37</v>
      </c>
      <c r="C9" s="4" t="s">
        <v>57</v>
      </c>
      <c r="D9" s="4" t="s">
        <v>58</v>
      </c>
      <c r="E9" s="4"/>
      <c r="F9" s="4" t="s">
        <v>25</v>
      </c>
      <c r="G9" s="7">
        <v>5.0</v>
      </c>
      <c r="H9" s="8">
        <v>90520.0</v>
      </c>
      <c r="I9" s="9">
        <v>0.21</v>
      </c>
      <c r="J9" s="8">
        <f t="shared" si="1"/>
        <v>19009.2</v>
      </c>
      <c r="K9" s="8">
        <f t="shared" si="2"/>
        <v>109529.2</v>
      </c>
      <c r="L9" s="4" t="s">
        <v>49</v>
      </c>
    </row>
    <row r="10">
      <c r="A10" s="6">
        <v>46028.0</v>
      </c>
      <c r="B10" s="4" t="s">
        <v>37</v>
      </c>
      <c r="C10" s="4" t="s">
        <v>60</v>
      </c>
      <c r="D10" s="4" t="s">
        <v>20</v>
      </c>
      <c r="E10" s="4"/>
      <c r="F10" s="4" t="s">
        <v>22</v>
      </c>
      <c r="G10" s="7">
        <v>6.0</v>
      </c>
      <c r="H10" s="8">
        <v>103466.0</v>
      </c>
      <c r="I10" s="9">
        <v>0.21</v>
      </c>
      <c r="J10" s="8">
        <f t="shared" si="1"/>
        <v>21727.86</v>
      </c>
      <c r="K10" s="8">
        <f t="shared" si="2"/>
        <v>125193.86</v>
      </c>
      <c r="L10" s="4" t="s">
        <v>40</v>
      </c>
    </row>
    <row r="11">
      <c r="A11" s="6">
        <v>46029.0</v>
      </c>
      <c r="B11" s="4" t="s">
        <v>37</v>
      </c>
      <c r="C11" s="4" t="s">
        <v>66</v>
      </c>
      <c r="D11" s="4" t="s">
        <v>20</v>
      </c>
      <c r="E11" s="4"/>
      <c r="F11" s="4" t="s">
        <v>39</v>
      </c>
      <c r="G11" s="7">
        <v>1.0</v>
      </c>
      <c r="H11" s="8">
        <v>116412.0</v>
      </c>
      <c r="I11" s="9">
        <v>0.21</v>
      </c>
      <c r="J11" s="8">
        <f t="shared" si="1"/>
        <v>24446.52</v>
      </c>
      <c r="K11" s="8">
        <f t="shared" si="2"/>
        <v>140858.52</v>
      </c>
      <c r="L11" s="4" t="s">
        <v>47</v>
      </c>
    </row>
    <row r="12">
      <c r="A12" s="6">
        <v>46030.0</v>
      </c>
      <c r="B12" s="4" t="s">
        <v>37</v>
      </c>
      <c r="C12" s="4" t="s">
        <v>69</v>
      </c>
      <c r="D12" s="4" t="s">
        <v>20</v>
      </c>
      <c r="E12" s="4"/>
      <c r="F12" s="4" t="s">
        <v>46</v>
      </c>
      <c r="G12" s="7">
        <v>2.0</v>
      </c>
      <c r="H12" s="8">
        <v>129358.0</v>
      </c>
      <c r="I12" s="9">
        <v>0.21</v>
      </c>
      <c r="J12" s="8">
        <f t="shared" si="1"/>
        <v>27165.18</v>
      </c>
      <c r="K12" s="8">
        <f t="shared" si="2"/>
        <v>156523.18</v>
      </c>
      <c r="L12" s="4" t="s">
        <v>36</v>
      </c>
    </row>
    <row r="13">
      <c r="A13" s="6">
        <v>46031.0</v>
      </c>
      <c r="B13" s="4" t="s">
        <v>37</v>
      </c>
      <c r="C13" s="4" t="s">
        <v>71</v>
      </c>
      <c r="D13" s="4" t="s">
        <v>20</v>
      </c>
      <c r="E13" s="4"/>
      <c r="F13" s="4" t="s">
        <v>25</v>
      </c>
      <c r="G13" s="7">
        <v>3.0</v>
      </c>
      <c r="H13" s="8">
        <v>52303.0</v>
      </c>
      <c r="I13" s="9">
        <v>0.21</v>
      </c>
      <c r="J13" s="8">
        <f t="shared" si="1"/>
        <v>10983.63</v>
      </c>
      <c r="K13" s="8">
        <f t="shared" si="2"/>
        <v>63286.63</v>
      </c>
      <c r="L13" s="4" t="s">
        <v>43</v>
      </c>
    </row>
    <row r="14">
      <c r="A14" s="6">
        <v>46032.0</v>
      </c>
      <c r="B14" s="4" t="s">
        <v>37</v>
      </c>
      <c r="C14" s="4" t="s">
        <v>76</v>
      </c>
      <c r="D14" s="4" t="s">
        <v>45</v>
      </c>
      <c r="E14" s="4"/>
      <c r="F14" s="4" t="s">
        <v>22</v>
      </c>
      <c r="G14" s="7">
        <v>4.0</v>
      </c>
      <c r="H14" s="8">
        <v>65249.0</v>
      </c>
      <c r="I14" s="9">
        <v>0.21</v>
      </c>
      <c r="J14" s="8">
        <f t="shared" si="1"/>
        <v>13702.29</v>
      </c>
      <c r="K14" s="8">
        <f t="shared" si="2"/>
        <v>78951.29</v>
      </c>
      <c r="L14" s="4" t="s">
        <v>49</v>
      </c>
    </row>
    <row r="15">
      <c r="A15" s="6">
        <v>46033.0</v>
      </c>
      <c r="B15" s="4" t="s">
        <v>18</v>
      </c>
      <c r="C15" s="4" t="s">
        <v>82</v>
      </c>
      <c r="D15" s="4" t="s">
        <v>20</v>
      </c>
      <c r="E15" s="4" t="s">
        <v>83</v>
      </c>
      <c r="F15" s="4" t="s">
        <v>39</v>
      </c>
      <c r="G15" s="7">
        <v>5.0</v>
      </c>
      <c r="H15" s="8">
        <v>78195.0</v>
      </c>
      <c r="I15" s="9">
        <v>0.21</v>
      </c>
      <c r="J15" s="8">
        <f t="shared" si="1"/>
        <v>16420.95</v>
      </c>
      <c r="K15" s="8">
        <f t="shared" si="2"/>
        <v>94615.95</v>
      </c>
      <c r="L15" s="4" t="s">
        <v>40</v>
      </c>
    </row>
    <row r="16">
      <c r="A16" s="6">
        <v>46034.0</v>
      </c>
      <c r="B16" s="4" t="s">
        <v>37</v>
      </c>
      <c r="C16" s="4" t="s">
        <v>89</v>
      </c>
      <c r="D16" s="4" t="s">
        <v>56</v>
      </c>
      <c r="E16" s="4"/>
      <c r="F16" s="4" t="s">
        <v>46</v>
      </c>
      <c r="G16" s="7">
        <v>6.0</v>
      </c>
      <c r="H16" s="8">
        <v>91141.0</v>
      </c>
      <c r="I16" s="9">
        <v>0.21</v>
      </c>
      <c r="J16" s="8">
        <f t="shared" si="1"/>
        <v>19139.61</v>
      </c>
      <c r="K16" s="8">
        <f t="shared" si="2"/>
        <v>110280.61</v>
      </c>
      <c r="L16" s="4" t="s">
        <v>47</v>
      </c>
    </row>
    <row r="17">
      <c r="A17" s="6">
        <v>46035.0</v>
      </c>
      <c r="B17" s="4" t="s">
        <v>37</v>
      </c>
      <c r="C17" s="4" t="s">
        <v>93</v>
      </c>
      <c r="D17" s="4" t="s">
        <v>20</v>
      </c>
      <c r="E17" s="4"/>
      <c r="F17" s="4" t="s">
        <v>25</v>
      </c>
      <c r="G17" s="7">
        <v>1.0</v>
      </c>
      <c r="H17" s="8">
        <v>104087.0</v>
      </c>
      <c r="I17" s="9">
        <v>0.21</v>
      </c>
      <c r="J17" s="8">
        <f t="shared" si="1"/>
        <v>21858.27</v>
      </c>
      <c r="K17" s="8">
        <f t="shared" si="2"/>
        <v>125945.27</v>
      </c>
      <c r="L17" s="4" t="s">
        <v>36</v>
      </c>
    </row>
    <row r="18">
      <c r="A18" s="6">
        <v>46036.0</v>
      </c>
      <c r="B18" s="4" t="s">
        <v>37</v>
      </c>
      <c r="C18" s="4" t="s">
        <v>96</v>
      </c>
      <c r="D18" s="4" t="s">
        <v>42</v>
      </c>
      <c r="E18" s="4"/>
      <c r="F18" s="4" t="s">
        <v>22</v>
      </c>
      <c r="G18" s="7">
        <v>2.0</v>
      </c>
      <c r="H18" s="8">
        <v>117033.0</v>
      </c>
      <c r="I18" s="9">
        <v>0.21</v>
      </c>
      <c r="J18" s="8">
        <f t="shared" si="1"/>
        <v>24576.93</v>
      </c>
      <c r="K18" s="8">
        <f t="shared" si="2"/>
        <v>141609.93</v>
      </c>
      <c r="L18" s="4" t="s">
        <v>43</v>
      </c>
    </row>
    <row r="19">
      <c r="A19" s="6">
        <v>46037.0</v>
      </c>
      <c r="B19" s="4" t="s">
        <v>37</v>
      </c>
      <c r="C19" s="4" t="s">
        <v>105</v>
      </c>
      <c r="D19" s="4" t="s">
        <v>20</v>
      </c>
      <c r="E19" s="4"/>
      <c r="F19" s="4" t="s">
        <v>39</v>
      </c>
      <c r="G19" s="7">
        <v>3.0</v>
      </c>
      <c r="H19" s="8">
        <v>129979.0</v>
      </c>
      <c r="I19" s="9">
        <v>0.21</v>
      </c>
      <c r="J19" s="8">
        <f t="shared" si="1"/>
        <v>27295.59</v>
      </c>
      <c r="K19" s="8">
        <f t="shared" si="2"/>
        <v>157274.59</v>
      </c>
      <c r="L19" s="4" t="s">
        <v>49</v>
      </c>
    </row>
    <row r="20">
      <c r="A20" s="6">
        <v>46038.0</v>
      </c>
      <c r="B20" s="4" t="s">
        <v>37</v>
      </c>
      <c r="C20" s="4" t="s">
        <v>110</v>
      </c>
      <c r="D20" s="4" t="s">
        <v>54</v>
      </c>
      <c r="E20" s="4"/>
      <c r="F20" s="4" t="s">
        <v>46</v>
      </c>
      <c r="G20" s="7">
        <v>4.0</v>
      </c>
      <c r="H20" s="8">
        <v>52924.0</v>
      </c>
      <c r="I20" s="9">
        <v>0.21</v>
      </c>
      <c r="J20" s="8">
        <f t="shared" si="1"/>
        <v>11114.04</v>
      </c>
      <c r="K20" s="8">
        <f t="shared" si="2"/>
        <v>64038.04</v>
      </c>
      <c r="L20" s="4" t="s">
        <v>40</v>
      </c>
    </row>
    <row r="21" ht="15.75" customHeight="1">
      <c r="A21" s="6">
        <v>46039.0</v>
      </c>
      <c r="B21" s="4" t="s">
        <v>37</v>
      </c>
      <c r="C21" s="4" t="s">
        <v>116</v>
      </c>
      <c r="D21" s="4" t="s">
        <v>58</v>
      </c>
      <c r="E21" s="4"/>
      <c r="F21" s="4" t="s">
        <v>25</v>
      </c>
      <c r="G21" s="7">
        <v>5.0</v>
      </c>
      <c r="H21" s="8">
        <v>65870.0</v>
      </c>
      <c r="I21" s="9">
        <v>0.21</v>
      </c>
      <c r="J21" s="8">
        <f t="shared" si="1"/>
        <v>13832.7</v>
      </c>
      <c r="K21" s="8">
        <f t="shared" si="2"/>
        <v>79702.7</v>
      </c>
      <c r="L21" s="4" t="s">
        <v>47</v>
      </c>
    </row>
    <row r="22" ht="15.75" customHeight="1">
      <c r="A22" s="6">
        <v>46040.0</v>
      </c>
      <c r="B22" s="4" t="s">
        <v>37</v>
      </c>
      <c r="C22" s="4" t="s">
        <v>121</v>
      </c>
      <c r="D22" s="4" t="s">
        <v>20</v>
      </c>
      <c r="E22" s="4"/>
      <c r="F22" s="4" t="s">
        <v>22</v>
      </c>
      <c r="G22" s="7">
        <v>6.0</v>
      </c>
      <c r="H22" s="8">
        <v>78816.0</v>
      </c>
      <c r="I22" s="9">
        <v>0.21</v>
      </c>
      <c r="J22" s="8">
        <f t="shared" si="1"/>
        <v>16551.36</v>
      </c>
      <c r="K22" s="8">
        <f t="shared" si="2"/>
        <v>95367.36</v>
      </c>
      <c r="L22" s="4" t="s">
        <v>36</v>
      </c>
    </row>
    <row r="23" ht="15.75" customHeight="1">
      <c r="A23" s="6">
        <v>46041.0</v>
      </c>
      <c r="B23" s="4" t="s">
        <v>37</v>
      </c>
      <c r="C23" s="4" t="s">
        <v>126</v>
      </c>
      <c r="D23" s="4" t="s">
        <v>20</v>
      </c>
      <c r="E23" s="4"/>
      <c r="F23" s="4" t="s">
        <v>39</v>
      </c>
      <c r="G23" s="7">
        <v>1.0</v>
      </c>
      <c r="H23" s="8">
        <v>91762.0</v>
      </c>
      <c r="I23" s="9">
        <v>0.21</v>
      </c>
      <c r="J23" s="8">
        <f t="shared" si="1"/>
        <v>19270.02</v>
      </c>
      <c r="K23" s="8">
        <f t="shared" si="2"/>
        <v>111032.02</v>
      </c>
      <c r="L23" s="4" t="s">
        <v>43</v>
      </c>
    </row>
    <row r="24" ht="15.75" customHeight="1">
      <c r="A24" s="6">
        <v>46042.0</v>
      </c>
      <c r="B24" s="4" t="s">
        <v>37</v>
      </c>
      <c r="C24" s="4" t="s">
        <v>133</v>
      </c>
      <c r="D24" s="4" t="s">
        <v>20</v>
      </c>
      <c r="E24" s="4"/>
      <c r="F24" s="4" t="s">
        <v>46</v>
      </c>
      <c r="G24" s="7">
        <v>2.0</v>
      </c>
      <c r="H24" s="8">
        <v>104708.0</v>
      </c>
      <c r="I24" s="9">
        <v>0.21</v>
      </c>
      <c r="J24" s="8">
        <f t="shared" si="1"/>
        <v>21988.68</v>
      </c>
      <c r="K24" s="8">
        <f t="shared" si="2"/>
        <v>126696.68</v>
      </c>
      <c r="L24" s="4" t="s">
        <v>49</v>
      </c>
    </row>
    <row r="25" ht="15.75" customHeight="1">
      <c r="A25" s="6">
        <v>46043.0</v>
      </c>
      <c r="B25" s="4" t="s">
        <v>18</v>
      </c>
      <c r="C25" s="4" t="s">
        <v>138</v>
      </c>
      <c r="D25" s="4" t="s">
        <v>20</v>
      </c>
      <c r="E25" s="4" t="s">
        <v>139</v>
      </c>
      <c r="F25" s="4" t="s">
        <v>25</v>
      </c>
      <c r="G25" s="7">
        <v>3.0</v>
      </c>
      <c r="H25" s="8">
        <v>117654.0</v>
      </c>
      <c r="I25" s="9">
        <v>0.21</v>
      </c>
      <c r="J25" s="8">
        <f t="shared" si="1"/>
        <v>24707.34</v>
      </c>
      <c r="K25" s="8">
        <f t="shared" si="2"/>
        <v>142361.34</v>
      </c>
      <c r="L25" s="4" t="s">
        <v>40</v>
      </c>
    </row>
    <row r="26" ht="15.75" customHeight="1">
      <c r="A26" s="6">
        <v>46044.0</v>
      </c>
      <c r="B26" s="4" t="s">
        <v>37</v>
      </c>
      <c r="C26" s="4" t="s">
        <v>145</v>
      </c>
      <c r="D26" s="4" t="s">
        <v>45</v>
      </c>
      <c r="E26" s="4"/>
      <c r="F26" s="4" t="s">
        <v>22</v>
      </c>
      <c r="G26" s="7">
        <v>4.0</v>
      </c>
      <c r="H26" s="8">
        <v>130600.0</v>
      </c>
      <c r="I26" s="9">
        <v>0.21</v>
      </c>
      <c r="J26" s="8">
        <f t="shared" si="1"/>
        <v>27426</v>
      </c>
      <c r="K26" s="8">
        <f t="shared" si="2"/>
        <v>158026</v>
      </c>
      <c r="L26" s="4" t="s">
        <v>47</v>
      </c>
    </row>
    <row r="27" ht="15.75" customHeight="1">
      <c r="A27" s="6">
        <v>46045.0</v>
      </c>
      <c r="B27" s="4" t="s">
        <v>37</v>
      </c>
      <c r="C27" s="4" t="s">
        <v>150</v>
      </c>
      <c r="D27" s="4" t="s">
        <v>20</v>
      </c>
      <c r="E27" s="4"/>
      <c r="F27" s="4" t="s">
        <v>39</v>
      </c>
      <c r="G27" s="7">
        <v>5.0</v>
      </c>
      <c r="H27" s="8">
        <v>53545.0</v>
      </c>
      <c r="I27" s="9">
        <v>0.21</v>
      </c>
      <c r="J27" s="8">
        <f t="shared" si="1"/>
        <v>11244.45</v>
      </c>
      <c r="K27" s="8">
        <f t="shared" si="2"/>
        <v>64789.45</v>
      </c>
      <c r="L27" s="4" t="s">
        <v>36</v>
      </c>
    </row>
    <row r="28" ht="15.75" customHeight="1">
      <c r="A28" s="6">
        <v>46046.0</v>
      </c>
      <c r="B28" s="4" t="s">
        <v>37</v>
      </c>
      <c r="C28" s="4" t="s">
        <v>154</v>
      </c>
      <c r="D28" s="4" t="s">
        <v>56</v>
      </c>
      <c r="E28" s="4"/>
      <c r="F28" s="4" t="s">
        <v>46</v>
      </c>
      <c r="G28" s="7">
        <v>6.0</v>
      </c>
      <c r="H28" s="8">
        <v>66491.0</v>
      </c>
      <c r="I28" s="9">
        <v>0.21</v>
      </c>
      <c r="J28" s="8">
        <f t="shared" si="1"/>
        <v>13963.11</v>
      </c>
      <c r="K28" s="8">
        <f t="shared" si="2"/>
        <v>80454.11</v>
      </c>
      <c r="L28" s="4" t="s">
        <v>43</v>
      </c>
    </row>
    <row r="29" ht="15.75" customHeight="1">
      <c r="A29" s="6">
        <v>46047.0</v>
      </c>
      <c r="B29" s="4" t="s">
        <v>37</v>
      </c>
      <c r="C29" s="4" t="s">
        <v>159</v>
      </c>
      <c r="D29" s="4" t="s">
        <v>20</v>
      </c>
      <c r="E29" s="4"/>
      <c r="F29" s="4" t="s">
        <v>25</v>
      </c>
      <c r="G29" s="7">
        <v>1.0</v>
      </c>
      <c r="H29" s="8">
        <v>79437.0</v>
      </c>
      <c r="I29" s="9">
        <v>0.21</v>
      </c>
      <c r="J29" s="8">
        <f t="shared" si="1"/>
        <v>16681.77</v>
      </c>
      <c r="K29" s="8">
        <f t="shared" si="2"/>
        <v>96118.77</v>
      </c>
      <c r="L29" s="4" t="s">
        <v>49</v>
      </c>
    </row>
    <row r="30" ht="15.75" customHeight="1">
      <c r="A30" s="6">
        <v>46048.0</v>
      </c>
      <c r="B30" s="4" t="s">
        <v>37</v>
      </c>
      <c r="C30" s="4" t="s">
        <v>166</v>
      </c>
      <c r="D30" s="4" t="s">
        <v>42</v>
      </c>
      <c r="E30" s="4"/>
      <c r="F30" s="4" t="s">
        <v>22</v>
      </c>
      <c r="G30" s="7">
        <v>2.0</v>
      </c>
      <c r="H30" s="8">
        <v>92383.0</v>
      </c>
      <c r="I30" s="9">
        <v>0.21</v>
      </c>
      <c r="J30" s="8">
        <f t="shared" si="1"/>
        <v>19400.43</v>
      </c>
      <c r="K30" s="8">
        <f t="shared" si="2"/>
        <v>111783.43</v>
      </c>
      <c r="L30" s="4" t="s">
        <v>40</v>
      </c>
    </row>
    <row r="31" ht="15.75" customHeight="1">
      <c r="A31" s="6">
        <v>46049.0</v>
      </c>
      <c r="B31" s="4" t="s">
        <v>37</v>
      </c>
      <c r="C31" s="4" t="s">
        <v>169</v>
      </c>
      <c r="D31" s="4" t="s">
        <v>20</v>
      </c>
      <c r="E31" s="4"/>
      <c r="F31" s="4" t="s">
        <v>39</v>
      </c>
      <c r="G31" s="7">
        <v>3.0</v>
      </c>
      <c r="H31" s="8">
        <v>105329.0</v>
      </c>
      <c r="I31" s="9">
        <v>0.21</v>
      </c>
      <c r="J31" s="8">
        <f t="shared" si="1"/>
        <v>22119.09</v>
      </c>
      <c r="K31" s="8">
        <f t="shared" si="2"/>
        <v>127448.09</v>
      </c>
      <c r="L31" s="4" t="s">
        <v>47</v>
      </c>
    </row>
    <row r="32" ht="15.75" customHeight="1">
      <c r="A32" s="6">
        <v>46050.0</v>
      </c>
      <c r="B32" s="4" t="s">
        <v>37</v>
      </c>
      <c r="C32" s="4" t="s">
        <v>172</v>
      </c>
      <c r="D32" s="4" t="s">
        <v>54</v>
      </c>
      <c r="E32" s="4"/>
      <c r="F32" s="4" t="s">
        <v>46</v>
      </c>
      <c r="G32" s="7">
        <v>4.0</v>
      </c>
      <c r="H32" s="8">
        <v>118275.0</v>
      </c>
      <c r="I32" s="9">
        <v>0.21</v>
      </c>
      <c r="J32" s="8">
        <f t="shared" si="1"/>
        <v>24837.75</v>
      </c>
      <c r="K32" s="8">
        <f t="shared" si="2"/>
        <v>143112.75</v>
      </c>
      <c r="L32" s="4" t="s">
        <v>36</v>
      </c>
    </row>
    <row r="33" ht="15.75" customHeight="1">
      <c r="A33" s="6">
        <v>46023.0</v>
      </c>
      <c r="B33" s="4" t="s">
        <v>37</v>
      </c>
      <c r="C33" s="4" t="s">
        <v>175</v>
      </c>
      <c r="D33" s="4" t="s">
        <v>58</v>
      </c>
      <c r="E33" s="4"/>
      <c r="F33" s="4" t="s">
        <v>25</v>
      </c>
      <c r="G33" s="7">
        <v>5.0</v>
      </c>
      <c r="H33" s="8">
        <v>131221.0</v>
      </c>
      <c r="I33" s="9">
        <v>0.21</v>
      </c>
      <c r="J33" s="8">
        <f t="shared" si="1"/>
        <v>27556.41</v>
      </c>
      <c r="K33" s="8">
        <f t="shared" si="2"/>
        <v>158777.41</v>
      </c>
      <c r="L33" s="4" t="s">
        <v>43</v>
      </c>
    </row>
    <row r="34" ht="15.75" customHeight="1">
      <c r="A34" s="6">
        <v>46024.0</v>
      </c>
      <c r="B34" s="4" t="s">
        <v>37</v>
      </c>
      <c r="C34" s="4" t="s">
        <v>177</v>
      </c>
      <c r="D34" s="4" t="s">
        <v>20</v>
      </c>
      <c r="E34" s="4"/>
      <c r="F34" s="4" t="s">
        <v>22</v>
      </c>
      <c r="G34" s="7">
        <v>6.0</v>
      </c>
      <c r="H34" s="8">
        <v>54166.0</v>
      </c>
      <c r="I34" s="9">
        <v>0.21</v>
      </c>
      <c r="J34" s="8">
        <f t="shared" si="1"/>
        <v>11374.86</v>
      </c>
      <c r="K34" s="8">
        <f t="shared" si="2"/>
        <v>65540.86</v>
      </c>
      <c r="L34" s="4" t="s">
        <v>49</v>
      </c>
    </row>
    <row r="35" ht="15.75" customHeight="1">
      <c r="A35" s="6">
        <v>46025.0</v>
      </c>
      <c r="B35" s="4" t="s">
        <v>18</v>
      </c>
      <c r="C35" s="4" t="s">
        <v>180</v>
      </c>
      <c r="D35" s="4" t="s">
        <v>20</v>
      </c>
      <c r="E35" s="4" t="s">
        <v>181</v>
      </c>
      <c r="F35" s="4" t="s">
        <v>39</v>
      </c>
      <c r="G35" s="7">
        <v>1.0</v>
      </c>
      <c r="H35" s="8">
        <v>67112.0</v>
      </c>
      <c r="I35" s="9">
        <v>0.21</v>
      </c>
      <c r="J35" s="8">
        <f t="shared" si="1"/>
        <v>14093.52</v>
      </c>
      <c r="K35" s="8">
        <f t="shared" si="2"/>
        <v>81205.52</v>
      </c>
      <c r="L35" s="4" t="s">
        <v>40</v>
      </c>
    </row>
    <row r="36" ht="15.75" customHeight="1">
      <c r="A36" s="6">
        <v>46026.0</v>
      </c>
      <c r="B36" s="4" t="s">
        <v>37</v>
      </c>
      <c r="C36" s="4" t="s">
        <v>184</v>
      </c>
      <c r="D36" s="4" t="s">
        <v>20</v>
      </c>
      <c r="E36" s="4"/>
      <c r="F36" s="4" t="s">
        <v>46</v>
      </c>
      <c r="G36" s="7">
        <v>2.0</v>
      </c>
      <c r="H36" s="8">
        <v>80058.0</v>
      </c>
      <c r="I36" s="9">
        <v>0.21</v>
      </c>
      <c r="J36" s="8">
        <f t="shared" si="1"/>
        <v>16812.18</v>
      </c>
      <c r="K36" s="8">
        <f t="shared" si="2"/>
        <v>96870.18</v>
      </c>
      <c r="L36" s="4" t="s">
        <v>47</v>
      </c>
    </row>
    <row r="37" ht="15.75" customHeight="1">
      <c r="A37" s="6">
        <v>46027.0</v>
      </c>
      <c r="B37" s="4" t="s">
        <v>37</v>
      </c>
      <c r="C37" s="4" t="s">
        <v>187</v>
      </c>
      <c r="D37" s="4" t="s">
        <v>20</v>
      </c>
      <c r="E37" s="4"/>
      <c r="F37" s="4" t="s">
        <v>25</v>
      </c>
      <c r="G37" s="7">
        <v>3.0</v>
      </c>
      <c r="H37" s="8">
        <v>93004.0</v>
      </c>
      <c r="I37" s="9">
        <v>0.21</v>
      </c>
      <c r="J37" s="8">
        <f t="shared" si="1"/>
        <v>19530.84</v>
      </c>
      <c r="K37" s="8">
        <f t="shared" si="2"/>
        <v>112534.84</v>
      </c>
      <c r="L37" s="4" t="s">
        <v>36</v>
      </c>
    </row>
    <row r="38" ht="15.75" customHeight="1">
      <c r="A38" s="6">
        <v>46028.0</v>
      </c>
      <c r="B38" s="4" t="s">
        <v>37</v>
      </c>
      <c r="C38" s="4" t="s">
        <v>190</v>
      </c>
      <c r="D38" s="4" t="s">
        <v>45</v>
      </c>
      <c r="E38" s="4"/>
      <c r="F38" s="4" t="s">
        <v>22</v>
      </c>
      <c r="G38" s="7">
        <v>4.0</v>
      </c>
      <c r="H38" s="8">
        <v>105950.0</v>
      </c>
      <c r="I38" s="9">
        <v>0.21</v>
      </c>
      <c r="J38" s="8">
        <f t="shared" si="1"/>
        <v>22249.5</v>
      </c>
      <c r="K38" s="8">
        <f t="shared" si="2"/>
        <v>128199.5</v>
      </c>
      <c r="L38" s="4" t="s">
        <v>43</v>
      </c>
    </row>
    <row r="39" ht="15.75" customHeight="1">
      <c r="A39" s="6">
        <v>46029.0</v>
      </c>
      <c r="B39" s="4" t="s">
        <v>37</v>
      </c>
      <c r="C39" s="4" t="s">
        <v>193</v>
      </c>
      <c r="D39" s="4" t="s">
        <v>20</v>
      </c>
      <c r="E39" s="4"/>
      <c r="F39" s="4" t="s">
        <v>39</v>
      </c>
      <c r="G39" s="7">
        <v>5.0</v>
      </c>
      <c r="H39" s="8">
        <v>118896.0</v>
      </c>
      <c r="I39" s="9">
        <v>0.21</v>
      </c>
      <c r="J39" s="8">
        <f t="shared" si="1"/>
        <v>24968.16</v>
      </c>
      <c r="K39" s="8">
        <f t="shared" si="2"/>
        <v>143864.16</v>
      </c>
      <c r="L39" s="4" t="s">
        <v>49</v>
      </c>
    </row>
    <row r="40" ht="15.75" customHeight="1">
      <c r="A40" s="6">
        <v>46030.0</v>
      </c>
      <c r="B40" s="4" t="s">
        <v>37</v>
      </c>
      <c r="C40" s="4" t="s">
        <v>195</v>
      </c>
      <c r="D40" s="4" t="s">
        <v>56</v>
      </c>
      <c r="E40" s="4"/>
      <c r="F40" s="4" t="s">
        <v>46</v>
      </c>
      <c r="G40" s="7">
        <v>6.0</v>
      </c>
      <c r="H40" s="8">
        <v>131842.0</v>
      </c>
      <c r="I40" s="9">
        <v>0.21</v>
      </c>
      <c r="J40" s="8">
        <f t="shared" si="1"/>
        <v>27686.82</v>
      </c>
      <c r="K40" s="8">
        <f t="shared" si="2"/>
        <v>159528.82</v>
      </c>
      <c r="L40" s="4" t="s">
        <v>40</v>
      </c>
    </row>
    <row r="41" ht="15.75" customHeight="1">
      <c r="A41" s="6">
        <v>46031.0</v>
      </c>
      <c r="B41" s="4" t="s">
        <v>37</v>
      </c>
      <c r="C41" s="4" t="s">
        <v>200</v>
      </c>
      <c r="D41" s="4" t="s">
        <v>20</v>
      </c>
      <c r="E41" s="4"/>
      <c r="F41" s="4" t="s">
        <v>25</v>
      </c>
      <c r="G41" s="7">
        <v>1.0</v>
      </c>
      <c r="H41" s="8">
        <v>54787.0</v>
      </c>
      <c r="I41" s="9">
        <v>0.21</v>
      </c>
      <c r="J41" s="8">
        <f t="shared" si="1"/>
        <v>11505.27</v>
      </c>
      <c r="K41" s="8">
        <f t="shared" si="2"/>
        <v>66292.27</v>
      </c>
      <c r="L41" s="4" t="s">
        <v>47</v>
      </c>
    </row>
    <row r="42" ht="15.75" customHeight="1">
      <c r="A42" s="6">
        <v>46032.0</v>
      </c>
      <c r="B42" s="4" t="s">
        <v>37</v>
      </c>
      <c r="C42" s="4" t="s">
        <v>202</v>
      </c>
      <c r="D42" s="4" t="s">
        <v>42</v>
      </c>
      <c r="E42" s="4"/>
      <c r="F42" s="4" t="s">
        <v>22</v>
      </c>
      <c r="G42" s="7">
        <v>2.0</v>
      </c>
      <c r="H42" s="8">
        <v>67733.0</v>
      </c>
      <c r="I42" s="9">
        <v>0.21</v>
      </c>
      <c r="J42" s="8">
        <f t="shared" si="1"/>
        <v>14223.93</v>
      </c>
      <c r="K42" s="8">
        <f t="shared" si="2"/>
        <v>81956.93</v>
      </c>
      <c r="L42" s="4" t="s">
        <v>36</v>
      </c>
    </row>
    <row r="43" ht="15.75" customHeight="1">
      <c r="A43" s="6">
        <v>46033.0</v>
      </c>
      <c r="B43" s="4" t="s">
        <v>37</v>
      </c>
      <c r="C43" s="4" t="s">
        <v>203</v>
      </c>
      <c r="D43" s="4" t="s">
        <v>20</v>
      </c>
      <c r="E43" s="4"/>
      <c r="F43" s="4" t="s">
        <v>39</v>
      </c>
      <c r="G43" s="7">
        <v>3.0</v>
      </c>
      <c r="H43" s="8">
        <v>80679.0</v>
      </c>
      <c r="I43" s="9">
        <v>0.21</v>
      </c>
      <c r="J43" s="8">
        <f t="shared" si="1"/>
        <v>16942.59</v>
      </c>
      <c r="K43" s="8">
        <f t="shared" si="2"/>
        <v>97621.59</v>
      </c>
      <c r="L43" s="4" t="s">
        <v>43</v>
      </c>
    </row>
    <row r="44" ht="15.75" customHeight="1">
      <c r="A44" s="6">
        <v>46034.0</v>
      </c>
      <c r="B44" s="4" t="s">
        <v>37</v>
      </c>
      <c r="C44" s="4" t="s">
        <v>204</v>
      </c>
      <c r="D44" s="4" t="s">
        <v>54</v>
      </c>
      <c r="E44" s="4"/>
      <c r="F44" s="4" t="s">
        <v>46</v>
      </c>
      <c r="G44" s="7">
        <v>4.0</v>
      </c>
      <c r="H44" s="8">
        <v>93625.0</v>
      </c>
      <c r="I44" s="9">
        <v>0.21</v>
      </c>
      <c r="J44" s="8">
        <f t="shared" si="1"/>
        <v>19661.25</v>
      </c>
      <c r="K44" s="8">
        <f t="shared" si="2"/>
        <v>113286.25</v>
      </c>
      <c r="L44" s="4" t="s">
        <v>49</v>
      </c>
    </row>
    <row r="45" ht="15.75" customHeight="1">
      <c r="A45" s="6">
        <v>46035.0</v>
      </c>
      <c r="B45" s="4" t="s">
        <v>18</v>
      </c>
      <c r="C45" s="4" t="s">
        <v>205</v>
      </c>
      <c r="D45" s="4" t="s">
        <v>58</v>
      </c>
      <c r="E45" s="4" t="s">
        <v>206</v>
      </c>
      <c r="F45" s="4" t="s">
        <v>25</v>
      </c>
      <c r="G45" s="7">
        <v>5.0</v>
      </c>
      <c r="H45" s="8">
        <v>106571.0</v>
      </c>
      <c r="I45" s="9">
        <v>0.21</v>
      </c>
      <c r="J45" s="8">
        <f t="shared" si="1"/>
        <v>22379.91</v>
      </c>
      <c r="K45" s="8">
        <f t="shared" si="2"/>
        <v>128950.91</v>
      </c>
      <c r="L45" s="4" t="s">
        <v>40</v>
      </c>
    </row>
    <row r="46" ht="15.75" customHeight="1">
      <c r="A46" s="6">
        <v>46036.0</v>
      </c>
      <c r="B46" s="4" t="s">
        <v>37</v>
      </c>
      <c r="C46" s="4" t="s">
        <v>207</v>
      </c>
      <c r="D46" s="4" t="s">
        <v>20</v>
      </c>
      <c r="E46" s="4"/>
      <c r="F46" s="4" t="s">
        <v>22</v>
      </c>
      <c r="G46" s="7">
        <v>6.0</v>
      </c>
      <c r="H46" s="8">
        <v>119517.0</v>
      </c>
      <c r="I46" s="9">
        <v>0.21</v>
      </c>
      <c r="J46" s="8">
        <f t="shared" si="1"/>
        <v>25098.57</v>
      </c>
      <c r="K46" s="8">
        <f t="shared" si="2"/>
        <v>144615.57</v>
      </c>
      <c r="L46" s="4" t="s">
        <v>47</v>
      </c>
    </row>
    <row r="47" ht="15.75" customHeight="1">
      <c r="A47" s="6">
        <v>46037.0</v>
      </c>
      <c r="B47" s="4" t="s">
        <v>37</v>
      </c>
      <c r="C47" s="4" t="s">
        <v>208</v>
      </c>
      <c r="D47" s="4" t="s">
        <v>20</v>
      </c>
      <c r="E47" s="4"/>
      <c r="F47" s="4" t="s">
        <v>39</v>
      </c>
      <c r="G47" s="7">
        <v>1.0</v>
      </c>
      <c r="H47" s="8">
        <v>42462.0</v>
      </c>
      <c r="I47" s="9">
        <v>0.21</v>
      </c>
      <c r="J47" s="8">
        <f t="shared" si="1"/>
        <v>8917.02</v>
      </c>
      <c r="K47" s="8">
        <f t="shared" si="2"/>
        <v>51379.02</v>
      </c>
      <c r="L47" s="4" t="s">
        <v>36</v>
      </c>
    </row>
    <row r="48" ht="15.75" customHeight="1">
      <c r="A48" s="6">
        <v>46038.0</v>
      </c>
      <c r="B48" s="4" t="s">
        <v>37</v>
      </c>
      <c r="C48" s="4" t="s">
        <v>209</v>
      </c>
      <c r="D48" s="4" t="s">
        <v>20</v>
      </c>
      <c r="E48" s="4"/>
      <c r="F48" s="4" t="s">
        <v>46</v>
      </c>
      <c r="G48" s="7">
        <v>2.0</v>
      </c>
      <c r="H48" s="8">
        <v>55408.0</v>
      </c>
      <c r="I48" s="9">
        <v>0.21</v>
      </c>
      <c r="J48" s="8">
        <f t="shared" si="1"/>
        <v>11635.68</v>
      </c>
      <c r="K48" s="8">
        <f t="shared" si="2"/>
        <v>67043.68</v>
      </c>
      <c r="L48" s="4" t="s">
        <v>43</v>
      </c>
    </row>
    <row r="49" ht="15.75" customHeight="1">
      <c r="A49" s="6">
        <v>46039.0</v>
      </c>
      <c r="B49" s="4" t="s">
        <v>37</v>
      </c>
      <c r="C49" s="4" t="s">
        <v>210</v>
      </c>
      <c r="D49" s="4" t="s">
        <v>20</v>
      </c>
      <c r="E49" s="4"/>
      <c r="F49" s="4" t="s">
        <v>25</v>
      </c>
      <c r="G49" s="7">
        <v>3.0</v>
      </c>
      <c r="H49" s="8">
        <v>68354.0</v>
      </c>
      <c r="I49" s="9">
        <v>0.21</v>
      </c>
      <c r="J49" s="8">
        <f t="shared" si="1"/>
        <v>14354.34</v>
      </c>
      <c r="K49" s="8">
        <f t="shared" si="2"/>
        <v>82708.34</v>
      </c>
      <c r="L49" s="4" t="s">
        <v>49</v>
      </c>
    </row>
    <row r="50" ht="15.75" customHeight="1">
      <c r="A50" s="6">
        <v>46040.0</v>
      </c>
      <c r="B50" s="4" t="s">
        <v>37</v>
      </c>
      <c r="C50" s="4" t="s">
        <v>211</v>
      </c>
      <c r="D50" s="4" t="s">
        <v>45</v>
      </c>
      <c r="E50" s="4"/>
      <c r="F50" s="4" t="s">
        <v>22</v>
      </c>
      <c r="G50" s="7">
        <v>4.0</v>
      </c>
      <c r="H50" s="8">
        <v>81300.0</v>
      </c>
      <c r="I50" s="9">
        <v>0.21</v>
      </c>
      <c r="J50" s="8">
        <f t="shared" si="1"/>
        <v>17073</v>
      </c>
      <c r="K50" s="8">
        <f t="shared" si="2"/>
        <v>98373</v>
      </c>
      <c r="L50" s="4" t="s">
        <v>40</v>
      </c>
    </row>
    <row r="51" ht="15.75" customHeight="1">
      <c r="A51" s="6">
        <v>46041.0</v>
      </c>
      <c r="B51" s="4" t="s">
        <v>37</v>
      </c>
      <c r="C51" s="4" t="s">
        <v>212</v>
      </c>
      <c r="D51" s="4" t="s">
        <v>20</v>
      </c>
      <c r="E51" s="4"/>
      <c r="F51" s="4" t="s">
        <v>39</v>
      </c>
      <c r="G51" s="7">
        <v>5.0</v>
      </c>
      <c r="H51" s="8">
        <v>94246.0</v>
      </c>
      <c r="I51" s="9">
        <v>0.21</v>
      </c>
      <c r="J51" s="8">
        <f t="shared" si="1"/>
        <v>19791.66</v>
      </c>
      <c r="K51" s="8">
        <f t="shared" si="2"/>
        <v>114037.66</v>
      </c>
      <c r="L51" s="4" t="s">
        <v>47</v>
      </c>
    </row>
    <row r="52" ht="15.75" customHeight="1">
      <c r="A52" s="6">
        <v>46042.0</v>
      </c>
      <c r="B52" s="4" t="s">
        <v>37</v>
      </c>
      <c r="C52" s="4" t="s">
        <v>213</v>
      </c>
      <c r="D52" s="4" t="s">
        <v>56</v>
      </c>
      <c r="E52" s="4"/>
      <c r="F52" s="4" t="s">
        <v>46</v>
      </c>
      <c r="G52" s="7">
        <v>6.0</v>
      </c>
      <c r="H52" s="8">
        <v>107192.0</v>
      </c>
      <c r="I52" s="9">
        <v>0.21</v>
      </c>
      <c r="J52" s="8">
        <f t="shared" si="1"/>
        <v>22510.32</v>
      </c>
      <c r="K52" s="8">
        <f t="shared" si="2"/>
        <v>129702.32</v>
      </c>
      <c r="L52" s="4" t="s">
        <v>36</v>
      </c>
    </row>
    <row r="53" ht="15.75" customHeight="1">
      <c r="A53" s="6">
        <v>46043.0</v>
      </c>
      <c r="B53" s="4" t="s">
        <v>37</v>
      </c>
      <c r="C53" s="4" t="s">
        <v>214</v>
      </c>
      <c r="D53" s="4" t="s">
        <v>20</v>
      </c>
      <c r="E53" s="4"/>
      <c r="F53" s="4" t="s">
        <v>25</v>
      </c>
      <c r="G53" s="7">
        <v>1.0</v>
      </c>
      <c r="H53" s="8">
        <v>120138.0</v>
      </c>
      <c r="I53" s="9">
        <v>0.21</v>
      </c>
      <c r="J53" s="8">
        <f t="shared" si="1"/>
        <v>25228.98</v>
      </c>
      <c r="K53" s="8">
        <f t="shared" si="2"/>
        <v>145366.98</v>
      </c>
      <c r="L53" s="4" t="s">
        <v>43</v>
      </c>
    </row>
    <row r="54" ht="15.75" customHeight="1">
      <c r="A54" s="6">
        <v>46044.0</v>
      </c>
      <c r="B54" s="4" t="s">
        <v>37</v>
      </c>
      <c r="C54" s="4" t="s">
        <v>215</v>
      </c>
      <c r="D54" s="4" t="s">
        <v>42</v>
      </c>
      <c r="E54" s="4"/>
      <c r="F54" s="4" t="s">
        <v>22</v>
      </c>
      <c r="G54" s="7">
        <v>2.0</v>
      </c>
      <c r="H54" s="8">
        <v>43083.0</v>
      </c>
      <c r="I54" s="9">
        <v>0.21</v>
      </c>
      <c r="J54" s="8">
        <f t="shared" si="1"/>
        <v>9047.43</v>
      </c>
      <c r="K54" s="8">
        <f t="shared" si="2"/>
        <v>52130.43</v>
      </c>
      <c r="L54" s="4" t="s">
        <v>49</v>
      </c>
    </row>
    <row r="55" ht="15.75" customHeight="1">
      <c r="A55" s="6">
        <v>46045.0</v>
      </c>
      <c r="B55" s="4" t="s">
        <v>18</v>
      </c>
      <c r="C55" s="4" t="s">
        <v>216</v>
      </c>
      <c r="D55" s="4" t="s">
        <v>20</v>
      </c>
      <c r="E55" s="4" t="s">
        <v>217</v>
      </c>
      <c r="F55" s="4" t="s">
        <v>39</v>
      </c>
      <c r="G55" s="7">
        <v>3.0</v>
      </c>
      <c r="H55" s="8">
        <v>56029.0</v>
      </c>
      <c r="I55" s="9">
        <v>0.21</v>
      </c>
      <c r="J55" s="8">
        <f t="shared" si="1"/>
        <v>11766.09</v>
      </c>
      <c r="K55" s="8">
        <f t="shared" si="2"/>
        <v>67795.09</v>
      </c>
      <c r="L55" s="4" t="s">
        <v>40</v>
      </c>
    </row>
    <row r="56" ht="15.75" customHeight="1">
      <c r="A56" s="6">
        <v>46046.0</v>
      </c>
      <c r="B56" s="4" t="s">
        <v>37</v>
      </c>
      <c r="C56" s="4" t="s">
        <v>218</v>
      </c>
      <c r="D56" s="4" t="s">
        <v>54</v>
      </c>
      <c r="E56" s="4"/>
      <c r="F56" s="4" t="s">
        <v>46</v>
      </c>
      <c r="G56" s="7">
        <v>4.0</v>
      </c>
      <c r="H56" s="8">
        <v>68975.0</v>
      </c>
      <c r="I56" s="9">
        <v>0.21</v>
      </c>
      <c r="J56" s="8">
        <f t="shared" si="1"/>
        <v>14484.75</v>
      </c>
      <c r="K56" s="8">
        <f t="shared" si="2"/>
        <v>83459.75</v>
      </c>
      <c r="L56" s="4" t="s">
        <v>47</v>
      </c>
    </row>
    <row r="57" ht="15.75" customHeight="1">
      <c r="A57" s="6">
        <v>46047.0</v>
      </c>
      <c r="B57" s="4" t="s">
        <v>37</v>
      </c>
      <c r="C57" s="4" t="s">
        <v>219</v>
      </c>
      <c r="D57" s="4" t="s">
        <v>58</v>
      </c>
      <c r="E57" s="4"/>
      <c r="F57" s="4" t="s">
        <v>25</v>
      </c>
      <c r="G57" s="7">
        <v>5.0</v>
      </c>
      <c r="H57" s="8">
        <v>81921.0</v>
      </c>
      <c r="I57" s="9">
        <v>0.21</v>
      </c>
      <c r="J57" s="8">
        <f t="shared" si="1"/>
        <v>17203.41</v>
      </c>
      <c r="K57" s="8">
        <f t="shared" si="2"/>
        <v>99124.41</v>
      </c>
      <c r="L57" s="4" t="s">
        <v>36</v>
      </c>
    </row>
    <row r="58" ht="15.75" customHeight="1">
      <c r="A58" s="6">
        <v>46048.0</v>
      </c>
      <c r="B58" s="4" t="s">
        <v>37</v>
      </c>
      <c r="C58" s="4" t="s">
        <v>220</v>
      </c>
      <c r="D58" s="4" t="s">
        <v>20</v>
      </c>
      <c r="E58" s="4"/>
      <c r="F58" s="4" t="s">
        <v>22</v>
      </c>
      <c r="G58" s="7">
        <v>6.0</v>
      </c>
      <c r="H58" s="8">
        <v>94867.0</v>
      </c>
      <c r="I58" s="9">
        <v>0.21</v>
      </c>
      <c r="J58" s="8">
        <f t="shared" si="1"/>
        <v>19922.07</v>
      </c>
      <c r="K58" s="8">
        <f t="shared" si="2"/>
        <v>114789.07</v>
      </c>
      <c r="L58" s="4" t="s">
        <v>43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6" width="28.0"/>
    <col customWidth="1" min="7" max="7" width="9.88"/>
    <col customWidth="1" min="8" max="8" width="9.0"/>
    <col customWidth="1" min="9" max="9" width="8.5"/>
    <col customWidth="1" min="10" max="10" width="9.38"/>
    <col customWidth="1" min="11" max="11" width="19.0"/>
    <col customWidth="1" min="12" max="26" width="8.63"/>
  </cols>
  <sheetData>
    <row r="1" ht="30.0" customHeight="1">
      <c r="A1" s="3" t="s">
        <v>1</v>
      </c>
    </row>
    <row r="2">
      <c r="A2" s="2" t="s">
        <v>14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31.5" customHeight="1">
      <c r="A4" s="5" t="s">
        <v>5</v>
      </c>
      <c r="B4" s="5" t="s">
        <v>26</v>
      </c>
      <c r="C4" s="5" t="s">
        <v>27</v>
      </c>
      <c r="D4" s="5" t="s">
        <v>6</v>
      </c>
      <c r="E4" s="5" t="s">
        <v>28</v>
      </c>
      <c r="F4" s="5" t="s">
        <v>29</v>
      </c>
      <c r="G4" s="5" t="s">
        <v>12</v>
      </c>
      <c r="H4" s="5" t="s">
        <v>13</v>
      </c>
      <c r="I4" s="5" t="s">
        <v>30</v>
      </c>
      <c r="J4" s="5" t="s">
        <v>16</v>
      </c>
      <c r="K4" s="5" t="s">
        <v>31</v>
      </c>
    </row>
    <row r="5">
      <c r="A5" s="6">
        <v>46024.0</v>
      </c>
      <c r="B5" s="4" t="s">
        <v>32</v>
      </c>
      <c r="C5" s="4" t="s">
        <v>33</v>
      </c>
      <c r="D5" s="4" t="s">
        <v>18</v>
      </c>
      <c r="E5" s="4" t="s">
        <v>34</v>
      </c>
      <c r="F5" s="4" t="s">
        <v>35</v>
      </c>
      <c r="G5" s="8">
        <v>215353.0</v>
      </c>
      <c r="H5" s="9">
        <v>0.105</v>
      </c>
      <c r="I5" s="8">
        <f t="shared" ref="I5:I22" si="1">ROUND(G5*H5,2)</f>
        <v>22612.07</v>
      </c>
      <c r="J5" s="8">
        <f t="shared" ref="J5:J22" si="2">ROUND(G5+I5,2)</f>
        <v>237965.07</v>
      </c>
      <c r="K5" s="4" t="s">
        <v>40</v>
      </c>
    </row>
    <row r="6">
      <c r="A6" s="6">
        <v>46027.0</v>
      </c>
      <c r="B6" s="4" t="s">
        <v>51</v>
      </c>
      <c r="C6" s="4" t="s">
        <v>53</v>
      </c>
      <c r="D6" s="4" t="s">
        <v>37</v>
      </c>
      <c r="E6" s="4" t="s">
        <v>34</v>
      </c>
      <c r="F6" s="4" t="s">
        <v>35</v>
      </c>
      <c r="G6" s="8">
        <v>180030.0</v>
      </c>
      <c r="H6" s="9">
        <v>0.105</v>
      </c>
      <c r="I6" s="8">
        <f t="shared" si="1"/>
        <v>18903.15</v>
      </c>
      <c r="J6" s="8">
        <f t="shared" si="2"/>
        <v>198933.15</v>
      </c>
      <c r="K6" s="4" t="s">
        <v>36</v>
      </c>
    </row>
    <row r="7">
      <c r="A7" s="6">
        <v>46030.0</v>
      </c>
      <c r="B7" s="4" t="s">
        <v>62</v>
      </c>
      <c r="C7" s="4" t="s">
        <v>63</v>
      </c>
      <c r="D7" s="4" t="s">
        <v>37</v>
      </c>
      <c r="E7" s="4" t="s">
        <v>65</v>
      </c>
      <c r="F7" s="4" t="s">
        <v>67</v>
      </c>
      <c r="G7" s="8">
        <v>94278.0</v>
      </c>
      <c r="H7" s="9">
        <v>0.21</v>
      </c>
      <c r="I7" s="8">
        <f t="shared" si="1"/>
        <v>19798.38</v>
      </c>
      <c r="J7" s="8">
        <f t="shared" si="2"/>
        <v>114076.38</v>
      </c>
      <c r="K7" s="4" t="s">
        <v>49</v>
      </c>
    </row>
    <row r="8">
      <c r="A8" s="6">
        <v>46033.0</v>
      </c>
      <c r="B8" s="4" t="s">
        <v>72</v>
      </c>
      <c r="C8" s="4" t="s">
        <v>73</v>
      </c>
      <c r="D8" s="4" t="s">
        <v>18</v>
      </c>
      <c r="E8" s="4" t="s">
        <v>65</v>
      </c>
      <c r="F8" s="4" t="s">
        <v>67</v>
      </c>
      <c r="G8" s="8">
        <v>56754.0</v>
      </c>
      <c r="H8" s="9">
        <v>0.21</v>
      </c>
      <c r="I8" s="8">
        <f t="shared" si="1"/>
        <v>11918.34</v>
      </c>
      <c r="J8" s="8">
        <f t="shared" si="2"/>
        <v>68672.34</v>
      </c>
      <c r="K8" s="4" t="s">
        <v>47</v>
      </c>
    </row>
    <row r="9">
      <c r="A9" s="6">
        <v>46036.0</v>
      </c>
      <c r="B9" s="4" t="s">
        <v>77</v>
      </c>
      <c r="C9" s="4" t="s">
        <v>78</v>
      </c>
      <c r="D9" s="4" t="s">
        <v>37</v>
      </c>
      <c r="E9" s="4" t="s">
        <v>79</v>
      </c>
      <c r="F9" s="4" t="s">
        <v>81</v>
      </c>
      <c r="G9" s="8">
        <v>103573.0</v>
      </c>
      <c r="H9" s="9">
        <v>0.21</v>
      </c>
      <c r="I9" s="8">
        <f t="shared" si="1"/>
        <v>21750.33</v>
      </c>
      <c r="J9" s="8">
        <f t="shared" si="2"/>
        <v>125323.33</v>
      </c>
      <c r="K9" s="4" t="s">
        <v>43</v>
      </c>
    </row>
    <row r="10">
      <c r="A10" s="6">
        <v>46039.0</v>
      </c>
      <c r="B10" s="4" t="s">
        <v>84</v>
      </c>
      <c r="C10" s="4" t="s">
        <v>85</v>
      </c>
      <c r="D10" s="4" t="s">
        <v>37</v>
      </c>
      <c r="E10" s="4" t="s">
        <v>86</v>
      </c>
      <c r="F10" s="4" t="s">
        <v>88</v>
      </c>
      <c r="G10" s="8">
        <v>79939.0</v>
      </c>
      <c r="H10" s="9">
        <v>0.21</v>
      </c>
      <c r="I10" s="8">
        <f t="shared" si="1"/>
        <v>16787.19</v>
      </c>
      <c r="J10" s="8">
        <f t="shared" si="2"/>
        <v>96726.19</v>
      </c>
      <c r="K10" s="4" t="s">
        <v>40</v>
      </c>
    </row>
    <row r="11">
      <c r="A11" s="6">
        <v>46042.0</v>
      </c>
      <c r="B11" s="4" t="s">
        <v>90</v>
      </c>
      <c r="C11" s="4" t="s">
        <v>91</v>
      </c>
      <c r="D11" s="4" t="s">
        <v>18</v>
      </c>
      <c r="E11" s="4" t="s">
        <v>94</v>
      </c>
      <c r="F11" s="4" t="s">
        <v>95</v>
      </c>
      <c r="G11" s="8">
        <v>29718.0</v>
      </c>
      <c r="H11" s="9">
        <v>0.21</v>
      </c>
      <c r="I11" s="8">
        <f t="shared" si="1"/>
        <v>6240.78</v>
      </c>
      <c r="J11" s="8">
        <f t="shared" si="2"/>
        <v>35958.78</v>
      </c>
      <c r="K11" s="4" t="s">
        <v>36</v>
      </c>
    </row>
    <row r="12">
      <c r="A12" s="6">
        <v>46045.0</v>
      </c>
      <c r="B12" s="4" t="s">
        <v>97</v>
      </c>
      <c r="C12" s="4" t="s">
        <v>98</v>
      </c>
      <c r="D12" s="4" t="s">
        <v>37</v>
      </c>
      <c r="E12" s="4" t="s">
        <v>100</v>
      </c>
      <c r="F12" s="4" t="s">
        <v>101</v>
      </c>
      <c r="G12" s="8">
        <v>50045.0</v>
      </c>
      <c r="H12" s="9">
        <v>0.21</v>
      </c>
      <c r="I12" s="8">
        <f t="shared" si="1"/>
        <v>10509.45</v>
      </c>
      <c r="J12" s="8">
        <f t="shared" si="2"/>
        <v>60554.45</v>
      </c>
      <c r="K12" s="4" t="s">
        <v>49</v>
      </c>
    </row>
    <row r="13">
      <c r="A13" s="6">
        <v>46048.0</v>
      </c>
      <c r="B13" s="4" t="s">
        <v>103</v>
      </c>
      <c r="C13" s="4" t="s">
        <v>104</v>
      </c>
      <c r="D13" s="4" t="s">
        <v>37</v>
      </c>
      <c r="E13" s="4" t="s">
        <v>106</v>
      </c>
      <c r="F13" s="4" t="s">
        <v>107</v>
      </c>
      <c r="G13" s="8">
        <v>52468.0</v>
      </c>
      <c r="H13" s="9">
        <v>0.21</v>
      </c>
      <c r="I13" s="8">
        <f t="shared" si="1"/>
        <v>11018.28</v>
      </c>
      <c r="J13" s="8">
        <f t="shared" si="2"/>
        <v>63486.28</v>
      </c>
      <c r="K13" s="4" t="s">
        <v>47</v>
      </c>
    </row>
    <row r="14">
      <c r="A14" s="6">
        <v>46024.0</v>
      </c>
      <c r="B14" s="4" t="s">
        <v>111</v>
      </c>
      <c r="C14" s="4" t="s">
        <v>112</v>
      </c>
      <c r="D14" s="4" t="s">
        <v>18</v>
      </c>
      <c r="E14" s="4" t="s">
        <v>113</v>
      </c>
      <c r="F14" s="4" t="s">
        <v>114</v>
      </c>
      <c r="G14" s="8">
        <v>131393.0</v>
      </c>
      <c r="H14" s="9">
        <v>0.21</v>
      </c>
      <c r="I14" s="8">
        <f t="shared" si="1"/>
        <v>27592.53</v>
      </c>
      <c r="J14" s="8">
        <f t="shared" si="2"/>
        <v>158985.53</v>
      </c>
      <c r="K14" s="4" t="s">
        <v>43</v>
      </c>
    </row>
    <row r="15">
      <c r="A15" s="6">
        <v>46027.0</v>
      </c>
      <c r="B15" s="4" t="s">
        <v>118</v>
      </c>
      <c r="C15" s="4" t="s">
        <v>119</v>
      </c>
      <c r="D15" s="4" t="s">
        <v>37</v>
      </c>
      <c r="E15" s="4" t="s">
        <v>123</v>
      </c>
      <c r="F15" s="4" t="s">
        <v>124</v>
      </c>
      <c r="G15" s="8">
        <v>48409.0</v>
      </c>
      <c r="H15" s="9">
        <v>0.21</v>
      </c>
      <c r="I15" s="8">
        <f t="shared" si="1"/>
        <v>10165.89</v>
      </c>
      <c r="J15" s="8">
        <f t="shared" si="2"/>
        <v>58574.89</v>
      </c>
      <c r="K15" s="4" t="s">
        <v>40</v>
      </c>
    </row>
    <row r="16">
      <c r="A16" s="6">
        <v>46030.0</v>
      </c>
      <c r="B16" s="4" t="s">
        <v>127</v>
      </c>
      <c r="C16" s="4" t="s">
        <v>128</v>
      </c>
      <c r="D16" s="4" t="s">
        <v>37</v>
      </c>
      <c r="E16" s="4" t="s">
        <v>130</v>
      </c>
      <c r="F16" s="4" t="s">
        <v>131</v>
      </c>
      <c r="G16" s="8">
        <v>43167.0</v>
      </c>
      <c r="H16" s="9">
        <v>0.21</v>
      </c>
      <c r="I16" s="8">
        <f t="shared" si="1"/>
        <v>9065.07</v>
      </c>
      <c r="J16" s="8">
        <f t="shared" si="2"/>
        <v>52232.07</v>
      </c>
      <c r="K16" s="4" t="s">
        <v>36</v>
      </c>
    </row>
    <row r="17">
      <c r="A17" s="6">
        <v>46033.0</v>
      </c>
      <c r="B17" s="4" t="s">
        <v>134</v>
      </c>
      <c r="C17" s="4" t="s">
        <v>136</v>
      </c>
      <c r="D17" s="4" t="s">
        <v>18</v>
      </c>
      <c r="E17" s="4" t="s">
        <v>130</v>
      </c>
      <c r="F17" s="4" t="s">
        <v>131</v>
      </c>
      <c r="G17" s="8">
        <v>29756.0</v>
      </c>
      <c r="H17" s="9">
        <v>0.21</v>
      </c>
      <c r="I17" s="8">
        <f t="shared" si="1"/>
        <v>6248.76</v>
      </c>
      <c r="J17" s="8">
        <f t="shared" si="2"/>
        <v>36004.76</v>
      </c>
      <c r="K17" s="4" t="s">
        <v>49</v>
      </c>
    </row>
    <row r="18">
      <c r="A18" s="6">
        <v>46036.0</v>
      </c>
      <c r="B18" s="4" t="s">
        <v>141</v>
      </c>
      <c r="C18" s="4" t="s">
        <v>142</v>
      </c>
      <c r="D18" s="4" t="s">
        <v>37</v>
      </c>
      <c r="E18" s="4" t="s">
        <v>143</v>
      </c>
      <c r="F18" s="4" t="s">
        <v>144</v>
      </c>
      <c r="G18" s="8">
        <v>31813.0</v>
      </c>
      <c r="H18" s="9">
        <v>0.21</v>
      </c>
      <c r="I18" s="8">
        <f t="shared" si="1"/>
        <v>6680.73</v>
      </c>
      <c r="J18" s="8">
        <f t="shared" si="2"/>
        <v>38493.73</v>
      </c>
      <c r="K18" s="4" t="s">
        <v>47</v>
      </c>
    </row>
    <row r="19">
      <c r="A19" s="6">
        <v>46039.0</v>
      </c>
      <c r="B19" s="4" t="s">
        <v>147</v>
      </c>
      <c r="C19" s="4" t="s">
        <v>148</v>
      </c>
      <c r="D19" s="4" t="s">
        <v>37</v>
      </c>
      <c r="E19" s="4" t="s">
        <v>143</v>
      </c>
      <c r="F19" s="4" t="s">
        <v>144</v>
      </c>
      <c r="G19" s="8">
        <v>25011.0</v>
      </c>
      <c r="H19" s="9">
        <v>0.21</v>
      </c>
      <c r="I19" s="8">
        <f t="shared" si="1"/>
        <v>5252.31</v>
      </c>
      <c r="J19" s="8">
        <f t="shared" si="2"/>
        <v>30263.31</v>
      </c>
      <c r="K19" s="4" t="s">
        <v>43</v>
      </c>
    </row>
    <row r="20">
      <c r="A20" s="6">
        <v>46042.0</v>
      </c>
      <c r="B20" s="4" t="s">
        <v>151</v>
      </c>
      <c r="C20" s="4" t="s">
        <v>152</v>
      </c>
      <c r="D20" s="4" t="s">
        <v>18</v>
      </c>
      <c r="E20" s="4" t="s">
        <v>130</v>
      </c>
      <c r="F20" s="4" t="s">
        <v>131</v>
      </c>
      <c r="G20" s="8">
        <v>21355.0</v>
      </c>
      <c r="H20" s="9">
        <v>0.21</v>
      </c>
      <c r="I20" s="8">
        <f t="shared" si="1"/>
        <v>4484.55</v>
      </c>
      <c r="J20" s="8">
        <f t="shared" si="2"/>
        <v>25839.55</v>
      </c>
      <c r="K20" s="4" t="s">
        <v>40</v>
      </c>
    </row>
    <row r="21" ht="15.75" customHeight="1">
      <c r="A21" s="6">
        <v>46045.0</v>
      </c>
      <c r="B21" s="4" t="s">
        <v>155</v>
      </c>
      <c r="C21" s="4" t="s">
        <v>156</v>
      </c>
      <c r="D21" s="4" t="s">
        <v>37</v>
      </c>
      <c r="E21" s="4" t="s">
        <v>123</v>
      </c>
      <c r="F21" s="4" t="s">
        <v>124</v>
      </c>
      <c r="G21" s="8">
        <v>31632.0</v>
      </c>
      <c r="H21" s="9">
        <v>0.21</v>
      </c>
      <c r="I21" s="8">
        <f t="shared" si="1"/>
        <v>6642.72</v>
      </c>
      <c r="J21" s="8">
        <f t="shared" si="2"/>
        <v>38274.72</v>
      </c>
      <c r="K21" s="4" t="s">
        <v>36</v>
      </c>
    </row>
    <row r="22" ht="15.75" customHeight="1">
      <c r="A22" s="6">
        <v>46048.0</v>
      </c>
      <c r="B22" s="4" t="s">
        <v>160</v>
      </c>
      <c r="C22" s="4" t="s">
        <v>161</v>
      </c>
      <c r="D22" s="4" t="s">
        <v>37</v>
      </c>
      <c r="E22" s="4" t="s">
        <v>162</v>
      </c>
      <c r="F22" s="4" t="s">
        <v>163</v>
      </c>
      <c r="G22" s="8">
        <v>12369.0</v>
      </c>
      <c r="H22" s="9">
        <v>0.21</v>
      </c>
      <c r="I22" s="8">
        <f t="shared" si="1"/>
        <v>2597.49</v>
      </c>
      <c r="J22" s="8">
        <f t="shared" si="2"/>
        <v>14966.49</v>
      </c>
      <c r="K22" s="4" t="s">
        <v>49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2" width="16.0"/>
    <col customWidth="1" min="3" max="3" width="11.25"/>
    <col customWidth="1" min="4" max="6" width="27.0"/>
    <col customWidth="1" min="7" max="7" width="6.75"/>
    <col customWidth="1" min="8" max="8" width="9.88"/>
    <col customWidth="1" min="9" max="9" width="9.0"/>
    <col customWidth="1" min="10" max="10" width="8.5"/>
    <col customWidth="1" min="11" max="11" width="9.38"/>
    <col customWidth="1" min="12" max="12" width="19.0"/>
    <col customWidth="1" min="13" max="26" width="8.63"/>
  </cols>
  <sheetData>
    <row r="1" ht="30.0" customHeight="1">
      <c r="A1" s="1" t="s">
        <v>2</v>
      </c>
    </row>
    <row r="2">
      <c r="A2" s="2" t="s">
        <v>4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31.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15</v>
      </c>
      <c r="K4" s="5" t="s">
        <v>16</v>
      </c>
      <c r="L4" s="5" t="s">
        <v>17</v>
      </c>
    </row>
    <row r="5">
      <c r="A5" s="6">
        <v>46054.0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7">
        <v>1.0</v>
      </c>
      <c r="H5" s="8">
        <v>95724.92</v>
      </c>
      <c r="I5" s="9">
        <v>0.21</v>
      </c>
      <c r="J5" s="8">
        <f t="shared" ref="J5:J58" si="1">ROUND(H5*I5,2)</f>
        <v>20102.23</v>
      </c>
      <c r="K5" s="8">
        <f t="shared" ref="K5:K58" si="2">ROUND(H5+J5,2)</f>
        <v>115827.15</v>
      </c>
      <c r="L5" s="4" t="s">
        <v>36</v>
      </c>
    </row>
    <row r="6">
      <c r="A6" s="6">
        <v>46055.0</v>
      </c>
      <c r="B6" s="4" t="s">
        <v>37</v>
      </c>
      <c r="C6" s="4" t="s">
        <v>38</v>
      </c>
      <c r="D6" s="4" t="s">
        <v>20</v>
      </c>
      <c r="E6" s="4"/>
      <c r="F6" s="4" t="s">
        <v>39</v>
      </c>
      <c r="G6" s="7">
        <v>2.0</v>
      </c>
      <c r="H6" s="8">
        <v>38704.22</v>
      </c>
      <c r="I6" s="9">
        <v>0.21</v>
      </c>
      <c r="J6" s="8">
        <f t="shared" si="1"/>
        <v>8127.89</v>
      </c>
      <c r="K6" s="8">
        <f t="shared" si="2"/>
        <v>46832.11</v>
      </c>
      <c r="L6" s="4" t="s">
        <v>43</v>
      </c>
    </row>
    <row r="7">
      <c r="A7" s="6">
        <v>46056.0</v>
      </c>
      <c r="B7" s="4" t="s">
        <v>37</v>
      </c>
      <c r="C7" s="4" t="s">
        <v>44</v>
      </c>
      <c r="D7" s="4" t="s">
        <v>45</v>
      </c>
      <c r="E7" s="4"/>
      <c r="F7" s="4" t="s">
        <v>46</v>
      </c>
      <c r="G7" s="7">
        <v>3.0</v>
      </c>
      <c r="H7" s="8">
        <v>48284.26</v>
      </c>
      <c r="I7" s="9">
        <v>0.21</v>
      </c>
      <c r="J7" s="8">
        <f t="shared" si="1"/>
        <v>10139.69</v>
      </c>
      <c r="K7" s="8">
        <f t="shared" si="2"/>
        <v>58423.95</v>
      </c>
      <c r="L7" s="4" t="s">
        <v>49</v>
      </c>
    </row>
    <row r="8">
      <c r="A8" s="6">
        <v>46057.0</v>
      </c>
      <c r="B8" s="4" t="s">
        <v>37</v>
      </c>
      <c r="C8" s="4" t="s">
        <v>50</v>
      </c>
      <c r="D8" s="4" t="s">
        <v>20</v>
      </c>
      <c r="E8" s="4"/>
      <c r="F8" s="4" t="s">
        <v>25</v>
      </c>
      <c r="G8" s="7">
        <v>4.0</v>
      </c>
      <c r="H8" s="8">
        <v>57864.3</v>
      </c>
      <c r="I8" s="9">
        <v>0.21</v>
      </c>
      <c r="J8" s="8">
        <f t="shared" si="1"/>
        <v>12151.5</v>
      </c>
      <c r="K8" s="8">
        <f t="shared" si="2"/>
        <v>70015.8</v>
      </c>
      <c r="L8" s="4" t="s">
        <v>40</v>
      </c>
    </row>
    <row r="9">
      <c r="A9" s="6">
        <v>46058.0</v>
      </c>
      <c r="B9" s="4" t="s">
        <v>37</v>
      </c>
      <c r="C9" s="4" t="s">
        <v>55</v>
      </c>
      <c r="D9" s="4" t="s">
        <v>56</v>
      </c>
      <c r="E9" s="4"/>
      <c r="F9" s="4" t="s">
        <v>22</v>
      </c>
      <c r="G9" s="7">
        <v>5.0</v>
      </c>
      <c r="H9" s="8">
        <v>67444.34</v>
      </c>
      <c r="I9" s="9">
        <v>0.21</v>
      </c>
      <c r="J9" s="8">
        <f t="shared" si="1"/>
        <v>14163.31</v>
      </c>
      <c r="K9" s="8">
        <f t="shared" si="2"/>
        <v>81607.65</v>
      </c>
      <c r="L9" s="4" t="s">
        <v>47</v>
      </c>
    </row>
    <row r="10">
      <c r="A10" s="6">
        <v>46059.0</v>
      </c>
      <c r="B10" s="4" t="s">
        <v>37</v>
      </c>
      <c r="C10" s="4" t="s">
        <v>59</v>
      </c>
      <c r="D10" s="4" t="s">
        <v>20</v>
      </c>
      <c r="E10" s="4"/>
      <c r="F10" s="4" t="s">
        <v>39</v>
      </c>
      <c r="G10" s="7">
        <v>6.0</v>
      </c>
      <c r="H10" s="8">
        <v>77024.38</v>
      </c>
      <c r="I10" s="9">
        <v>0.21</v>
      </c>
      <c r="J10" s="8">
        <f t="shared" si="1"/>
        <v>16175.12</v>
      </c>
      <c r="K10" s="8">
        <f t="shared" si="2"/>
        <v>93199.5</v>
      </c>
      <c r="L10" s="4" t="s">
        <v>36</v>
      </c>
    </row>
    <row r="11">
      <c r="A11" s="6">
        <v>46060.0</v>
      </c>
      <c r="B11" s="4" t="s">
        <v>37</v>
      </c>
      <c r="C11" s="4" t="s">
        <v>61</v>
      </c>
      <c r="D11" s="4" t="s">
        <v>42</v>
      </c>
      <c r="E11" s="4"/>
      <c r="F11" s="4" t="s">
        <v>46</v>
      </c>
      <c r="G11" s="7">
        <v>1.0</v>
      </c>
      <c r="H11" s="8">
        <v>86604.42</v>
      </c>
      <c r="I11" s="9">
        <v>0.21</v>
      </c>
      <c r="J11" s="8">
        <f t="shared" si="1"/>
        <v>18186.93</v>
      </c>
      <c r="K11" s="8">
        <f t="shared" si="2"/>
        <v>104791.35</v>
      </c>
      <c r="L11" s="4" t="s">
        <v>43</v>
      </c>
    </row>
    <row r="12">
      <c r="A12" s="6">
        <v>46061.0</v>
      </c>
      <c r="B12" s="4" t="s">
        <v>37</v>
      </c>
      <c r="C12" s="4" t="s">
        <v>64</v>
      </c>
      <c r="D12" s="4" t="s">
        <v>20</v>
      </c>
      <c r="E12" s="4"/>
      <c r="F12" s="4" t="s">
        <v>25</v>
      </c>
      <c r="G12" s="7">
        <v>2.0</v>
      </c>
      <c r="H12" s="8">
        <v>96184.46</v>
      </c>
      <c r="I12" s="9">
        <v>0.21</v>
      </c>
      <c r="J12" s="8">
        <f t="shared" si="1"/>
        <v>20198.74</v>
      </c>
      <c r="K12" s="8">
        <f t="shared" si="2"/>
        <v>116383.2</v>
      </c>
      <c r="L12" s="4" t="s">
        <v>49</v>
      </c>
    </row>
    <row r="13">
      <c r="A13" s="6">
        <v>46062.0</v>
      </c>
      <c r="B13" s="4" t="s">
        <v>37</v>
      </c>
      <c r="C13" s="4" t="s">
        <v>68</v>
      </c>
      <c r="D13" s="4" t="s">
        <v>54</v>
      </c>
      <c r="E13" s="4"/>
      <c r="F13" s="4" t="s">
        <v>22</v>
      </c>
      <c r="G13" s="7">
        <v>3.0</v>
      </c>
      <c r="H13" s="8">
        <v>39163.76</v>
      </c>
      <c r="I13" s="9">
        <v>0.21</v>
      </c>
      <c r="J13" s="8">
        <f t="shared" si="1"/>
        <v>8224.39</v>
      </c>
      <c r="K13" s="8">
        <f t="shared" si="2"/>
        <v>47388.15</v>
      </c>
      <c r="L13" s="4" t="s">
        <v>40</v>
      </c>
    </row>
    <row r="14">
      <c r="A14" s="6">
        <v>46063.0</v>
      </c>
      <c r="B14" s="4" t="s">
        <v>37</v>
      </c>
      <c r="C14" s="4" t="s">
        <v>70</v>
      </c>
      <c r="D14" s="4" t="s">
        <v>58</v>
      </c>
      <c r="E14" s="4"/>
      <c r="F14" s="4" t="s">
        <v>39</v>
      </c>
      <c r="G14" s="7">
        <v>4.0</v>
      </c>
      <c r="H14" s="8">
        <v>48743.8</v>
      </c>
      <c r="I14" s="9">
        <v>0.21</v>
      </c>
      <c r="J14" s="8">
        <f t="shared" si="1"/>
        <v>10236.2</v>
      </c>
      <c r="K14" s="8">
        <f t="shared" si="2"/>
        <v>58980</v>
      </c>
      <c r="L14" s="4" t="s">
        <v>47</v>
      </c>
    </row>
    <row r="15">
      <c r="A15" s="6">
        <v>46064.0</v>
      </c>
      <c r="B15" s="4" t="s">
        <v>18</v>
      </c>
      <c r="C15" s="4" t="s">
        <v>74</v>
      </c>
      <c r="D15" s="4" t="s">
        <v>20</v>
      </c>
      <c r="E15" s="4" t="s">
        <v>75</v>
      </c>
      <c r="F15" s="4" t="s">
        <v>46</v>
      </c>
      <c r="G15" s="7">
        <v>5.0</v>
      </c>
      <c r="H15" s="8">
        <v>58323.84</v>
      </c>
      <c r="I15" s="9">
        <v>0.21</v>
      </c>
      <c r="J15" s="8">
        <f t="shared" si="1"/>
        <v>12248.01</v>
      </c>
      <c r="K15" s="8">
        <f t="shared" si="2"/>
        <v>70571.85</v>
      </c>
      <c r="L15" s="4" t="s">
        <v>36</v>
      </c>
    </row>
    <row r="16">
      <c r="A16" s="6">
        <v>46065.0</v>
      </c>
      <c r="B16" s="4" t="s">
        <v>37</v>
      </c>
      <c r="C16" s="4" t="s">
        <v>80</v>
      </c>
      <c r="D16" s="4" t="s">
        <v>20</v>
      </c>
      <c r="E16" s="4"/>
      <c r="F16" s="4" t="s">
        <v>25</v>
      </c>
      <c r="G16" s="7">
        <v>6.0</v>
      </c>
      <c r="H16" s="8">
        <v>67903.88</v>
      </c>
      <c r="I16" s="9">
        <v>0.21</v>
      </c>
      <c r="J16" s="8">
        <f t="shared" si="1"/>
        <v>14259.81</v>
      </c>
      <c r="K16" s="8">
        <f t="shared" si="2"/>
        <v>82163.69</v>
      </c>
      <c r="L16" s="4" t="s">
        <v>43</v>
      </c>
    </row>
    <row r="17">
      <c r="A17" s="6">
        <v>46066.0</v>
      </c>
      <c r="B17" s="4" t="s">
        <v>37</v>
      </c>
      <c r="C17" s="4" t="s">
        <v>87</v>
      </c>
      <c r="D17" s="4" t="s">
        <v>20</v>
      </c>
      <c r="E17" s="4"/>
      <c r="F17" s="4" t="s">
        <v>22</v>
      </c>
      <c r="G17" s="7">
        <v>1.0</v>
      </c>
      <c r="H17" s="8">
        <v>77483.92</v>
      </c>
      <c r="I17" s="9">
        <v>0.21</v>
      </c>
      <c r="J17" s="8">
        <f t="shared" si="1"/>
        <v>16271.62</v>
      </c>
      <c r="K17" s="8">
        <f t="shared" si="2"/>
        <v>93755.54</v>
      </c>
      <c r="L17" s="4" t="s">
        <v>49</v>
      </c>
    </row>
    <row r="18">
      <c r="A18" s="6">
        <v>46067.0</v>
      </c>
      <c r="B18" s="4" t="s">
        <v>37</v>
      </c>
      <c r="C18" s="4" t="s">
        <v>92</v>
      </c>
      <c r="D18" s="4" t="s">
        <v>20</v>
      </c>
      <c r="E18" s="4"/>
      <c r="F18" s="4" t="s">
        <v>39</v>
      </c>
      <c r="G18" s="7">
        <v>2.0</v>
      </c>
      <c r="H18" s="8">
        <v>87063.96</v>
      </c>
      <c r="I18" s="9">
        <v>0.21</v>
      </c>
      <c r="J18" s="8">
        <f t="shared" si="1"/>
        <v>18283.43</v>
      </c>
      <c r="K18" s="8">
        <f t="shared" si="2"/>
        <v>105347.39</v>
      </c>
      <c r="L18" s="4" t="s">
        <v>40</v>
      </c>
    </row>
    <row r="19">
      <c r="A19" s="6">
        <v>46068.0</v>
      </c>
      <c r="B19" s="4" t="s">
        <v>37</v>
      </c>
      <c r="C19" s="4" t="s">
        <v>99</v>
      </c>
      <c r="D19" s="4" t="s">
        <v>45</v>
      </c>
      <c r="E19" s="4"/>
      <c r="F19" s="4" t="s">
        <v>46</v>
      </c>
      <c r="G19" s="7">
        <v>3.0</v>
      </c>
      <c r="H19" s="8">
        <v>96644.0</v>
      </c>
      <c r="I19" s="9">
        <v>0.21</v>
      </c>
      <c r="J19" s="8">
        <f t="shared" si="1"/>
        <v>20295.24</v>
      </c>
      <c r="K19" s="8">
        <f t="shared" si="2"/>
        <v>116939.24</v>
      </c>
      <c r="L19" s="4" t="s">
        <v>47</v>
      </c>
    </row>
    <row r="20">
      <c r="A20" s="6">
        <v>46069.0</v>
      </c>
      <c r="B20" s="4" t="s">
        <v>37</v>
      </c>
      <c r="C20" s="4" t="s">
        <v>102</v>
      </c>
      <c r="D20" s="4" t="s">
        <v>20</v>
      </c>
      <c r="E20" s="4"/>
      <c r="F20" s="4" t="s">
        <v>25</v>
      </c>
      <c r="G20" s="7">
        <v>4.0</v>
      </c>
      <c r="H20" s="8">
        <v>39623.3</v>
      </c>
      <c r="I20" s="9">
        <v>0.21</v>
      </c>
      <c r="J20" s="8">
        <f t="shared" si="1"/>
        <v>8320.89</v>
      </c>
      <c r="K20" s="8">
        <f t="shared" si="2"/>
        <v>47944.19</v>
      </c>
      <c r="L20" s="4" t="s">
        <v>36</v>
      </c>
    </row>
    <row r="21" ht="15.75" customHeight="1">
      <c r="A21" s="6">
        <v>46070.0</v>
      </c>
      <c r="B21" s="4" t="s">
        <v>37</v>
      </c>
      <c r="C21" s="4" t="s">
        <v>108</v>
      </c>
      <c r="D21" s="4" t="s">
        <v>56</v>
      </c>
      <c r="E21" s="4"/>
      <c r="F21" s="4" t="s">
        <v>22</v>
      </c>
      <c r="G21" s="7">
        <v>5.0</v>
      </c>
      <c r="H21" s="8">
        <v>49203.34</v>
      </c>
      <c r="I21" s="9">
        <v>0.21</v>
      </c>
      <c r="J21" s="8">
        <f t="shared" si="1"/>
        <v>10332.7</v>
      </c>
      <c r="K21" s="8">
        <f t="shared" si="2"/>
        <v>59536.04</v>
      </c>
      <c r="L21" s="4" t="s">
        <v>43</v>
      </c>
    </row>
    <row r="22" ht="15.75" customHeight="1">
      <c r="A22" s="6">
        <v>46071.0</v>
      </c>
      <c r="B22" s="4" t="s">
        <v>37</v>
      </c>
      <c r="C22" s="4" t="s">
        <v>109</v>
      </c>
      <c r="D22" s="4" t="s">
        <v>20</v>
      </c>
      <c r="E22" s="4"/>
      <c r="F22" s="4" t="s">
        <v>39</v>
      </c>
      <c r="G22" s="7">
        <v>6.0</v>
      </c>
      <c r="H22" s="8">
        <v>58783.38</v>
      </c>
      <c r="I22" s="9">
        <v>0.21</v>
      </c>
      <c r="J22" s="8">
        <f t="shared" si="1"/>
        <v>12344.51</v>
      </c>
      <c r="K22" s="8">
        <f t="shared" si="2"/>
        <v>71127.89</v>
      </c>
      <c r="L22" s="4" t="s">
        <v>49</v>
      </c>
    </row>
    <row r="23" ht="15.75" customHeight="1">
      <c r="A23" s="6">
        <v>46072.0</v>
      </c>
      <c r="B23" s="4" t="s">
        <v>37</v>
      </c>
      <c r="C23" s="4" t="s">
        <v>115</v>
      </c>
      <c r="D23" s="4" t="s">
        <v>42</v>
      </c>
      <c r="E23" s="4"/>
      <c r="F23" s="4" t="s">
        <v>46</v>
      </c>
      <c r="G23" s="7">
        <v>1.0</v>
      </c>
      <c r="H23" s="8">
        <v>68363.42</v>
      </c>
      <c r="I23" s="9">
        <v>0.21</v>
      </c>
      <c r="J23" s="8">
        <f t="shared" si="1"/>
        <v>14356.32</v>
      </c>
      <c r="K23" s="8">
        <f t="shared" si="2"/>
        <v>82719.74</v>
      </c>
      <c r="L23" s="4" t="s">
        <v>40</v>
      </c>
    </row>
    <row r="24" ht="15.75" customHeight="1">
      <c r="A24" s="6">
        <v>46073.0</v>
      </c>
      <c r="B24" s="4" t="s">
        <v>37</v>
      </c>
      <c r="C24" s="4" t="s">
        <v>117</v>
      </c>
      <c r="D24" s="4" t="s">
        <v>20</v>
      </c>
      <c r="E24" s="4"/>
      <c r="F24" s="4" t="s">
        <v>25</v>
      </c>
      <c r="G24" s="7">
        <v>2.0</v>
      </c>
      <c r="H24" s="8">
        <v>77943.46</v>
      </c>
      <c r="I24" s="9">
        <v>0.21</v>
      </c>
      <c r="J24" s="8">
        <f t="shared" si="1"/>
        <v>16368.13</v>
      </c>
      <c r="K24" s="8">
        <f t="shared" si="2"/>
        <v>94311.59</v>
      </c>
      <c r="L24" s="4" t="s">
        <v>47</v>
      </c>
    </row>
    <row r="25" ht="15.75" customHeight="1">
      <c r="A25" s="6">
        <v>46074.0</v>
      </c>
      <c r="B25" s="4" t="s">
        <v>18</v>
      </c>
      <c r="C25" s="4" t="s">
        <v>120</v>
      </c>
      <c r="D25" s="4" t="s">
        <v>54</v>
      </c>
      <c r="E25" s="4" t="s">
        <v>122</v>
      </c>
      <c r="F25" s="4" t="s">
        <v>22</v>
      </c>
      <c r="G25" s="7">
        <v>3.0</v>
      </c>
      <c r="H25" s="8">
        <v>118275.0</v>
      </c>
      <c r="I25" s="9">
        <v>0.21</v>
      </c>
      <c r="J25" s="8">
        <f t="shared" si="1"/>
        <v>24837.75</v>
      </c>
      <c r="K25" s="8">
        <f t="shared" si="2"/>
        <v>143112.75</v>
      </c>
      <c r="L25" s="4" t="s">
        <v>36</v>
      </c>
    </row>
    <row r="26" ht="15.75" customHeight="1">
      <c r="A26" s="6">
        <v>46075.0</v>
      </c>
      <c r="B26" s="4" t="s">
        <v>37</v>
      </c>
      <c r="C26" s="4" t="s">
        <v>125</v>
      </c>
      <c r="D26" s="4" t="s">
        <v>58</v>
      </c>
      <c r="E26" s="4"/>
      <c r="F26" s="4" t="s">
        <v>39</v>
      </c>
      <c r="G26" s="7">
        <v>4.0</v>
      </c>
      <c r="H26" s="8">
        <v>131221.0</v>
      </c>
      <c r="I26" s="9">
        <v>0.21</v>
      </c>
      <c r="J26" s="8">
        <f t="shared" si="1"/>
        <v>27556.41</v>
      </c>
      <c r="K26" s="8">
        <f t="shared" si="2"/>
        <v>158777.41</v>
      </c>
      <c r="L26" s="4" t="s">
        <v>43</v>
      </c>
    </row>
    <row r="27" ht="15.75" customHeight="1">
      <c r="A27" s="6">
        <v>46076.0</v>
      </c>
      <c r="B27" s="4" t="s">
        <v>37</v>
      </c>
      <c r="C27" s="4" t="s">
        <v>129</v>
      </c>
      <c r="D27" s="4" t="s">
        <v>20</v>
      </c>
      <c r="E27" s="4"/>
      <c r="F27" s="4" t="s">
        <v>46</v>
      </c>
      <c r="G27" s="7">
        <v>5.0</v>
      </c>
      <c r="H27" s="8">
        <v>54166.0</v>
      </c>
      <c r="I27" s="9">
        <v>0.21</v>
      </c>
      <c r="J27" s="8">
        <f t="shared" si="1"/>
        <v>11374.86</v>
      </c>
      <c r="K27" s="8">
        <f t="shared" si="2"/>
        <v>65540.86</v>
      </c>
      <c r="L27" s="4" t="s">
        <v>49</v>
      </c>
    </row>
    <row r="28" ht="15.75" customHeight="1">
      <c r="A28" s="6">
        <v>46077.0</v>
      </c>
      <c r="B28" s="4" t="s">
        <v>37</v>
      </c>
      <c r="C28" s="4" t="s">
        <v>132</v>
      </c>
      <c r="D28" s="4" t="s">
        <v>20</v>
      </c>
      <c r="E28" s="4"/>
      <c r="F28" s="4" t="s">
        <v>25</v>
      </c>
      <c r="G28" s="7">
        <v>6.0</v>
      </c>
      <c r="H28" s="8">
        <v>67112.0</v>
      </c>
      <c r="I28" s="9">
        <v>0.21</v>
      </c>
      <c r="J28" s="8">
        <f t="shared" si="1"/>
        <v>14093.52</v>
      </c>
      <c r="K28" s="8">
        <f t="shared" si="2"/>
        <v>81205.52</v>
      </c>
      <c r="L28" s="4" t="s">
        <v>40</v>
      </c>
    </row>
    <row r="29" ht="15.75" customHeight="1">
      <c r="A29" s="6">
        <v>46078.0</v>
      </c>
      <c r="B29" s="4" t="s">
        <v>37</v>
      </c>
      <c r="C29" s="4" t="s">
        <v>135</v>
      </c>
      <c r="D29" s="4" t="s">
        <v>20</v>
      </c>
      <c r="E29" s="4"/>
      <c r="F29" s="4" t="s">
        <v>22</v>
      </c>
      <c r="G29" s="7">
        <v>1.0</v>
      </c>
      <c r="H29" s="8">
        <v>80058.0</v>
      </c>
      <c r="I29" s="9">
        <v>0.21</v>
      </c>
      <c r="J29" s="8">
        <f t="shared" si="1"/>
        <v>16812.18</v>
      </c>
      <c r="K29" s="8">
        <f t="shared" si="2"/>
        <v>96870.18</v>
      </c>
      <c r="L29" s="4" t="s">
        <v>47</v>
      </c>
    </row>
    <row r="30" ht="15.75" customHeight="1">
      <c r="A30" s="6">
        <v>46079.0</v>
      </c>
      <c r="B30" s="4" t="s">
        <v>37</v>
      </c>
      <c r="C30" s="4" t="s">
        <v>137</v>
      </c>
      <c r="D30" s="4" t="s">
        <v>20</v>
      </c>
      <c r="E30" s="4"/>
      <c r="F30" s="4" t="s">
        <v>39</v>
      </c>
      <c r="G30" s="7">
        <v>2.0</v>
      </c>
      <c r="H30" s="8">
        <v>93004.0</v>
      </c>
      <c r="I30" s="9">
        <v>0.21</v>
      </c>
      <c r="J30" s="8">
        <f t="shared" si="1"/>
        <v>19530.84</v>
      </c>
      <c r="K30" s="8">
        <f t="shared" si="2"/>
        <v>112534.84</v>
      </c>
      <c r="L30" s="4" t="s">
        <v>36</v>
      </c>
    </row>
    <row r="31" ht="15.75" customHeight="1">
      <c r="A31" s="6">
        <v>46080.0</v>
      </c>
      <c r="B31" s="4" t="s">
        <v>37</v>
      </c>
      <c r="C31" s="4" t="s">
        <v>140</v>
      </c>
      <c r="D31" s="4" t="s">
        <v>45</v>
      </c>
      <c r="E31" s="4"/>
      <c r="F31" s="4" t="s">
        <v>46</v>
      </c>
      <c r="G31" s="7">
        <v>3.0</v>
      </c>
      <c r="H31" s="8">
        <v>105950.0</v>
      </c>
      <c r="I31" s="9">
        <v>0.21</v>
      </c>
      <c r="J31" s="8">
        <f t="shared" si="1"/>
        <v>22249.5</v>
      </c>
      <c r="K31" s="8">
        <f t="shared" si="2"/>
        <v>128199.5</v>
      </c>
      <c r="L31" s="4" t="s">
        <v>43</v>
      </c>
    </row>
    <row r="32" ht="15.75" customHeight="1">
      <c r="A32" s="6">
        <v>46081.0</v>
      </c>
      <c r="B32" s="4" t="s">
        <v>37</v>
      </c>
      <c r="C32" s="4" t="s">
        <v>146</v>
      </c>
      <c r="D32" s="4" t="s">
        <v>20</v>
      </c>
      <c r="E32" s="4"/>
      <c r="F32" s="4" t="s">
        <v>25</v>
      </c>
      <c r="G32" s="7">
        <v>4.0</v>
      </c>
      <c r="H32" s="8">
        <v>118896.0</v>
      </c>
      <c r="I32" s="9">
        <v>0.21</v>
      </c>
      <c r="J32" s="8">
        <f t="shared" si="1"/>
        <v>24968.16</v>
      </c>
      <c r="K32" s="8">
        <f t="shared" si="2"/>
        <v>143864.16</v>
      </c>
      <c r="L32" s="4" t="s">
        <v>49</v>
      </c>
    </row>
    <row r="33" ht="15.75" customHeight="1">
      <c r="A33" s="6">
        <v>46054.0</v>
      </c>
      <c r="B33" s="4" t="s">
        <v>37</v>
      </c>
      <c r="C33" s="4" t="s">
        <v>149</v>
      </c>
      <c r="D33" s="4" t="s">
        <v>56</v>
      </c>
      <c r="E33" s="4"/>
      <c r="F33" s="4" t="s">
        <v>22</v>
      </c>
      <c r="G33" s="7">
        <v>5.0</v>
      </c>
      <c r="H33" s="8">
        <v>131842.0</v>
      </c>
      <c r="I33" s="9">
        <v>0.21</v>
      </c>
      <c r="J33" s="8">
        <f t="shared" si="1"/>
        <v>27686.82</v>
      </c>
      <c r="K33" s="8">
        <f t="shared" si="2"/>
        <v>159528.82</v>
      </c>
      <c r="L33" s="4" t="s">
        <v>40</v>
      </c>
    </row>
    <row r="34" ht="15.75" customHeight="1">
      <c r="A34" s="6">
        <v>46055.0</v>
      </c>
      <c r="B34" s="4" t="s">
        <v>37</v>
      </c>
      <c r="C34" s="4" t="s">
        <v>153</v>
      </c>
      <c r="D34" s="4" t="s">
        <v>20</v>
      </c>
      <c r="E34" s="4"/>
      <c r="F34" s="4" t="s">
        <v>39</v>
      </c>
      <c r="G34" s="7">
        <v>6.0</v>
      </c>
      <c r="H34" s="8">
        <v>54787.0</v>
      </c>
      <c r="I34" s="9">
        <v>0.21</v>
      </c>
      <c r="J34" s="8">
        <f t="shared" si="1"/>
        <v>11505.27</v>
      </c>
      <c r="K34" s="8">
        <f t="shared" si="2"/>
        <v>66292.27</v>
      </c>
      <c r="L34" s="4" t="s">
        <v>47</v>
      </c>
    </row>
    <row r="35" ht="15.75" customHeight="1">
      <c r="A35" s="6">
        <v>46056.0</v>
      </c>
      <c r="B35" s="4" t="s">
        <v>18</v>
      </c>
      <c r="C35" s="4" t="s">
        <v>157</v>
      </c>
      <c r="D35" s="4" t="s">
        <v>42</v>
      </c>
      <c r="E35" s="4" t="s">
        <v>158</v>
      </c>
      <c r="F35" s="4" t="s">
        <v>46</v>
      </c>
      <c r="G35" s="7">
        <v>1.0</v>
      </c>
      <c r="H35" s="8">
        <v>67733.0</v>
      </c>
      <c r="I35" s="9">
        <v>0.21</v>
      </c>
      <c r="J35" s="8">
        <f t="shared" si="1"/>
        <v>14223.93</v>
      </c>
      <c r="K35" s="8">
        <f t="shared" si="2"/>
        <v>81956.93</v>
      </c>
      <c r="L35" s="4" t="s">
        <v>36</v>
      </c>
    </row>
    <row r="36" ht="15.75" customHeight="1">
      <c r="A36" s="6">
        <v>46057.0</v>
      </c>
      <c r="B36" s="4" t="s">
        <v>37</v>
      </c>
      <c r="C36" s="4" t="s">
        <v>164</v>
      </c>
      <c r="D36" s="4" t="s">
        <v>20</v>
      </c>
      <c r="E36" s="4"/>
      <c r="F36" s="4" t="s">
        <v>25</v>
      </c>
      <c r="G36" s="7">
        <v>2.0</v>
      </c>
      <c r="H36" s="8">
        <v>80679.0</v>
      </c>
      <c r="I36" s="9">
        <v>0.21</v>
      </c>
      <c r="J36" s="8">
        <f t="shared" si="1"/>
        <v>16942.59</v>
      </c>
      <c r="K36" s="8">
        <f t="shared" si="2"/>
        <v>97621.59</v>
      </c>
      <c r="L36" s="4" t="s">
        <v>43</v>
      </c>
    </row>
    <row r="37" ht="15.75" customHeight="1">
      <c r="A37" s="6">
        <v>46058.0</v>
      </c>
      <c r="B37" s="4" t="s">
        <v>37</v>
      </c>
      <c r="C37" s="4" t="s">
        <v>165</v>
      </c>
      <c r="D37" s="4" t="s">
        <v>54</v>
      </c>
      <c r="E37" s="4"/>
      <c r="F37" s="4" t="s">
        <v>22</v>
      </c>
      <c r="G37" s="7">
        <v>3.0</v>
      </c>
      <c r="H37" s="8">
        <v>93625.0</v>
      </c>
      <c r="I37" s="9">
        <v>0.21</v>
      </c>
      <c r="J37" s="8">
        <f t="shared" si="1"/>
        <v>19661.25</v>
      </c>
      <c r="K37" s="8">
        <f t="shared" si="2"/>
        <v>113286.25</v>
      </c>
      <c r="L37" s="4" t="s">
        <v>49</v>
      </c>
    </row>
    <row r="38" ht="15.75" customHeight="1">
      <c r="A38" s="6">
        <v>46059.0</v>
      </c>
      <c r="B38" s="4" t="s">
        <v>37</v>
      </c>
      <c r="C38" s="4" t="s">
        <v>167</v>
      </c>
      <c r="D38" s="4" t="s">
        <v>58</v>
      </c>
      <c r="E38" s="4"/>
      <c r="F38" s="4" t="s">
        <v>39</v>
      </c>
      <c r="G38" s="7">
        <v>4.0</v>
      </c>
      <c r="H38" s="8">
        <v>106571.0</v>
      </c>
      <c r="I38" s="9">
        <v>0.21</v>
      </c>
      <c r="J38" s="8">
        <f t="shared" si="1"/>
        <v>22379.91</v>
      </c>
      <c r="K38" s="8">
        <f t="shared" si="2"/>
        <v>128950.91</v>
      </c>
      <c r="L38" s="4" t="s">
        <v>40</v>
      </c>
    </row>
    <row r="39" ht="15.75" customHeight="1">
      <c r="A39" s="6">
        <v>46060.0</v>
      </c>
      <c r="B39" s="4" t="s">
        <v>37</v>
      </c>
      <c r="C39" s="4" t="s">
        <v>168</v>
      </c>
      <c r="D39" s="4" t="s">
        <v>20</v>
      </c>
      <c r="E39" s="4"/>
      <c r="F39" s="4" t="s">
        <v>46</v>
      </c>
      <c r="G39" s="7">
        <v>5.0</v>
      </c>
      <c r="H39" s="8">
        <v>119517.0</v>
      </c>
      <c r="I39" s="9">
        <v>0.21</v>
      </c>
      <c r="J39" s="8">
        <f t="shared" si="1"/>
        <v>25098.57</v>
      </c>
      <c r="K39" s="8">
        <f t="shared" si="2"/>
        <v>144615.57</v>
      </c>
      <c r="L39" s="4" t="s">
        <v>47</v>
      </c>
    </row>
    <row r="40" ht="15.75" customHeight="1">
      <c r="A40" s="6">
        <v>46061.0</v>
      </c>
      <c r="B40" s="4" t="s">
        <v>37</v>
      </c>
      <c r="C40" s="4" t="s">
        <v>170</v>
      </c>
      <c r="D40" s="4" t="s">
        <v>20</v>
      </c>
      <c r="E40" s="4"/>
      <c r="F40" s="4" t="s">
        <v>25</v>
      </c>
      <c r="G40" s="7">
        <v>6.0</v>
      </c>
      <c r="H40" s="8">
        <v>42462.0</v>
      </c>
      <c r="I40" s="9">
        <v>0.21</v>
      </c>
      <c r="J40" s="8">
        <f t="shared" si="1"/>
        <v>8917.02</v>
      </c>
      <c r="K40" s="8">
        <f t="shared" si="2"/>
        <v>51379.02</v>
      </c>
      <c r="L40" s="4" t="s">
        <v>36</v>
      </c>
    </row>
    <row r="41" ht="15.75" customHeight="1">
      <c r="A41" s="6">
        <v>46062.0</v>
      </c>
      <c r="B41" s="4" t="s">
        <v>37</v>
      </c>
      <c r="C41" s="4" t="s">
        <v>171</v>
      </c>
      <c r="D41" s="4" t="s">
        <v>20</v>
      </c>
      <c r="E41" s="4"/>
      <c r="F41" s="4" t="s">
        <v>22</v>
      </c>
      <c r="G41" s="7">
        <v>1.0</v>
      </c>
      <c r="H41" s="8">
        <v>55408.0</v>
      </c>
      <c r="I41" s="9">
        <v>0.21</v>
      </c>
      <c r="J41" s="8">
        <f t="shared" si="1"/>
        <v>11635.68</v>
      </c>
      <c r="K41" s="8">
        <f t="shared" si="2"/>
        <v>67043.68</v>
      </c>
      <c r="L41" s="4" t="s">
        <v>43</v>
      </c>
    </row>
    <row r="42" ht="15.75" customHeight="1">
      <c r="A42" s="6">
        <v>46063.0</v>
      </c>
      <c r="B42" s="4" t="s">
        <v>37</v>
      </c>
      <c r="C42" s="4" t="s">
        <v>173</v>
      </c>
      <c r="D42" s="4" t="s">
        <v>20</v>
      </c>
      <c r="E42" s="4"/>
      <c r="F42" s="4" t="s">
        <v>39</v>
      </c>
      <c r="G42" s="7">
        <v>2.0</v>
      </c>
      <c r="H42" s="8">
        <v>68354.0</v>
      </c>
      <c r="I42" s="9">
        <v>0.21</v>
      </c>
      <c r="J42" s="8">
        <f t="shared" si="1"/>
        <v>14354.34</v>
      </c>
      <c r="K42" s="8">
        <f t="shared" si="2"/>
        <v>82708.34</v>
      </c>
      <c r="L42" s="4" t="s">
        <v>49</v>
      </c>
    </row>
    <row r="43" ht="15.75" customHeight="1">
      <c r="A43" s="6">
        <v>46064.0</v>
      </c>
      <c r="B43" s="4" t="s">
        <v>37</v>
      </c>
      <c r="C43" s="4" t="s">
        <v>174</v>
      </c>
      <c r="D43" s="4" t="s">
        <v>45</v>
      </c>
      <c r="E43" s="4"/>
      <c r="F43" s="4" t="s">
        <v>46</v>
      </c>
      <c r="G43" s="7">
        <v>3.0</v>
      </c>
      <c r="H43" s="8">
        <v>81300.0</v>
      </c>
      <c r="I43" s="9">
        <v>0.21</v>
      </c>
      <c r="J43" s="8">
        <f t="shared" si="1"/>
        <v>17073</v>
      </c>
      <c r="K43" s="8">
        <f t="shared" si="2"/>
        <v>98373</v>
      </c>
      <c r="L43" s="4" t="s">
        <v>40</v>
      </c>
    </row>
    <row r="44" ht="15.75" customHeight="1">
      <c r="A44" s="6">
        <v>46065.0</v>
      </c>
      <c r="B44" s="4" t="s">
        <v>37</v>
      </c>
      <c r="C44" s="4" t="s">
        <v>176</v>
      </c>
      <c r="D44" s="4" t="s">
        <v>20</v>
      </c>
      <c r="E44" s="4"/>
      <c r="F44" s="4" t="s">
        <v>25</v>
      </c>
      <c r="G44" s="7">
        <v>4.0</v>
      </c>
      <c r="H44" s="8">
        <v>94246.0</v>
      </c>
      <c r="I44" s="9">
        <v>0.21</v>
      </c>
      <c r="J44" s="8">
        <f t="shared" si="1"/>
        <v>19791.66</v>
      </c>
      <c r="K44" s="8">
        <f t="shared" si="2"/>
        <v>114037.66</v>
      </c>
      <c r="L44" s="4" t="s">
        <v>47</v>
      </c>
    </row>
    <row r="45" ht="15.75" customHeight="1">
      <c r="A45" s="6">
        <v>46066.0</v>
      </c>
      <c r="B45" s="4" t="s">
        <v>18</v>
      </c>
      <c r="C45" s="4" t="s">
        <v>178</v>
      </c>
      <c r="D45" s="4" t="s">
        <v>56</v>
      </c>
      <c r="E45" s="4" t="s">
        <v>179</v>
      </c>
      <c r="F45" s="4" t="s">
        <v>22</v>
      </c>
      <c r="G45" s="7">
        <v>5.0</v>
      </c>
      <c r="H45" s="8">
        <v>107192.0</v>
      </c>
      <c r="I45" s="9">
        <v>0.21</v>
      </c>
      <c r="J45" s="8">
        <f t="shared" si="1"/>
        <v>22510.32</v>
      </c>
      <c r="K45" s="8">
        <f t="shared" si="2"/>
        <v>129702.32</v>
      </c>
      <c r="L45" s="4" t="s">
        <v>36</v>
      </c>
    </row>
    <row r="46" ht="15.75" customHeight="1">
      <c r="A46" s="6">
        <v>46067.0</v>
      </c>
      <c r="B46" s="4" t="s">
        <v>37</v>
      </c>
      <c r="C46" s="4" t="s">
        <v>182</v>
      </c>
      <c r="D46" s="4" t="s">
        <v>20</v>
      </c>
      <c r="E46" s="4"/>
      <c r="F46" s="4" t="s">
        <v>39</v>
      </c>
      <c r="G46" s="7">
        <v>6.0</v>
      </c>
      <c r="H46" s="8">
        <v>120138.0</v>
      </c>
      <c r="I46" s="9">
        <v>0.21</v>
      </c>
      <c r="J46" s="8">
        <f t="shared" si="1"/>
        <v>25228.98</v>
      </c>
      <c r="K46" s="8">
        <f t="shared" si="2"/>
        <v>145366.98</v>
      </c>
      <c r="L46" s="4" t="s">
        <v>43</v>
      </c>
    </row>
    <row r="47" ht="15.75" customHeight="1">
      <c r="A47" s="6">
        <v>46068.0</v>
      </c>
      <c r="B47" s="4" t="s">
        <v>37</v>
      </c>
      <c r="C47" s="4" t="s">
        <v>183</v>
      </c>
      <c r="D47" s="4" t="s">
        <v>42</v>
      </c>
      <c r="E47" s="4"/>
      <c r="F47" s="4" t="s">
        <v>46</v>
      </c>
      <c r="G47" s="7">
        <v>1.0</v>
      </c>
      <c r="H47" s="8">
        <v>43083.0</v>
      </c>
      <c r="I47" s="9">
        <v>0.21</v>
      </c>
      <c r="J47" s="8">
        <f t="shared" si="1"/>
        <v>9047.43</v>
      </c>
      <c r="K47" s="8">
        <f t="shared" si="2"/>
        <v>52130.43</v>
      </c>
      <c r="L47" s="4" t="s">
        <v>49</v>
      </c>
    </row>
    <row r="48" ht="15.75" customHeight="1">
      <c r="A48" s="6">
        <v>46069.0</v>
      </c>
      <c r="B48" s="4" t="s">
        <v>37</v>
      </c>
      <c r="C48" s="4" t="s">
        <v>185</v>
      </c>
      <c r="D48" s="4" t="s">
        <v>20</v>
      </c>
      <c r="E48" s="4"/>
      <c r="F48" s="4" t="s">
        <v>25</v>
      </c>
      <c r="G48" s="7">
        <v>2.0</v>
      </c>
      <c r="H48" s="8">
        <v>56029.0</v>
      </c>
      <c r="I48" s="9">
        <v>0.21</v>
      </c>
      <c r="J48" s="8">
        <f t="shared" si="1"/>
        <v>11766.09</v>
      </c>
      <c r="K48" s="8">
        <f t="shared" si="2"/>
        <v>67795.09</v>
      </c>
      <c r="L48" s="4" t="s">
        <v>40</v>
      </c>
    </row>
    <row r="49" ht="15.75" customHeight="1">
      <c r="A49" s="6">
        <v>46070.0</v>
      </c>
      <c r="B49" s="4" t="s">
        <v>37</v>
      </c>
      <c r="C49" s="4" t="s">
        <v>186</v>
      </c>
      <c r="D49" s="4" t="s">
        <v>54</v>
      </c>
      <c r="E49" s="4"/>
      <c r="F49" s="4" t="s">
        <v>22</v>
      </c>
      <c r="G49" s="7">
        <v>3.0</v>
      </c>
      <c r="H49" s="8">
        <v>68975.0</v>
      </c>
      <c r="I49" s="9">
        <v>0.21</v>
      </c>
      <c r="J49" s="8">
        <f t="shared" si="1"/>
        <v>14484.75</v>
      </c>
      <c r="K49" s="8">
        <f t="shared" si="2"/>
        <v>83459.75</v>
      </c>
      <c r="L49" s="4" t="s">
        <v>47</v>
      </c>
    </row>
    <row r="50" ht="15.75" customHeight="1">
      <c r="A50" s="6">
        <v>46071.0</v>
      </c>
      <c r="B50" s="4" t="s">
        <v>37</v>
      </c>
      <c r="C50" s="4" t="s">
        <v>188</v>
      </c>
      <c r="D50" s="4" t="s">
        <v>58</v>
      </c>
      <c r="E50" s="4"/>
      <c r="F50" s="4" t="s">
        <v>39</v>
      </c>
      <c r="G50" s="7">
        <v>4.0</v>
      </c>
      <c r="H50" s="8">
        <v>81921.0</v>
      </c>
      <c r="I50" s="9">
        <v>0.21</v>
      </c>
      <c r="J50" s="8">
        <f t="shared" si="1"/>
        <v>17203.41</v>
      </c>
      <c r="K50" s="8">
        <f t="shared" si="2"/>
        <v>99124.41</v>
      </c>
      <c r="L50" s="4" t="s">
        <v>36</v>
      </c>
    </row>
    <row r="51" ht="15.75" customHeight="1">
      <c r="A51" s="6">
        <v>46072.0</v>
      </c>
      <c r="B51" s="4" t="s">
        <v>37</v>
      </c>
      <c r="C51" s="4" t="s">
        <v>189</v>
      </c>
      <c r="D51" s="4" t="s">
        <v>20</v>
      </c>
      <c r="E51" s="4"/>
      <c r="F51" s="4" t="s">
        <v>46</v>
      </c>
      <c r="G51" s="7">
        <v>5.0</v>
      </c>
      <c r="H51" s="8">
        <v>94867.0</v>
      </c>
      <c r="I51" s="9">
        <v>0.21</v>
      </c>
      <c r="J51" s="8">
        <f t="shared" si="1"/>
        <v>19922.07</v>
      </c>
      <c r="K51" s="8">
        <f t="shared" si="2"/>
        <v>114789.07</v>
      </c>
      <c r="L51" s="4" t="s">
        <v>43</v>
      </c>
    </row>
    <row r="52" ht="15.75" customHeight="1">
      <c r="A52" s="6">
        <v>46073.0</v>
      </c>
      <c r="B52" s="4" t="s">
        <v>37</v>
      </c>
      <c r="C52" s="4" t="s">
        <v>191</v>
      </c>
      <c r="D52" s="4" t="s">
        <v>20</v>
      </c>
      <c r="E52" s="4"/>
      <c r="F52" s="4" t="s">
        <v>25</v>
      </c>
      <c r="G52" s="7">
        <v>6.0</v>
      </c>
      <c r="H52" s="8">
        <v>107813.0</v>
      </c>
      <c r="I52" s="9">
        <v>0.21</v>
      </c>
      <c r="J52" s="8">
        <f t="shared" si="1"/>
        <v>22640.73</v>
      </c>
      <c r="K52" s="8">
        <f t="shared" si="2"/>
        <v>130453.73</v>
      </c>
      <c r="L52" s="4" t="s">
        <v>49</v>
      </c>
    </row>
    <row r="53" ht="15.75" customHeight="1">
      <c r="A53" s="6">
        <v>46074.0</v>
      </c>
      <c r="B53" s="4" t="s">
        <v>37</v>
      </c>
      <c r="C53" s="4" t="s">
        <v>192</v>
      </c>
      <c r="D53" s="4" t="s">
        <v>20</v>
      </c>
      <c r="E53" s="4"/>
      <c r="F53" s="4" t="s">
        <v>22</v>
      </c>
      <c r="G53" s="7">
        <v>1.0</v>
      </c>
      <c r="H53" s="8">
        <v>120759.0</v>
      </c>
      <c r="I53" s="9">
        <v>0.21</v>
      </c>
      <c r="J53" s="8">
        <f t="shared" si="1"/>
        <v>25359.39</v>
      </c>
      <c r="K53" s="8">
        <f t="shared" si="2"/>
        <v>146118.39</v>
      </c>
      <c r="L53" s="4" t="s">
        <v>40</v>
      </c>
    </row>
    <row r="54" ht="15.75" customHeight="1">
      <c r="A54" s="6">
        <v>46075.0</v>
      </c>
      <c r="B54" s="4" t="s">
        <v>37</v>
      </c>
      <c r="C54" s="4" t="s">
        <v>194</v>
      </c>
      <c r="D54" s="4" t="s">
        <v>20</v>
      </c>
      <c r="E54" s="4"/>
      <c r="F54" s="4" t="s">
        <v>39</v>
      </c>
      <c r="G54" s="7">
        <v>2.0</v>
      </c>
      <c r="H54" s="8">
        <v>43704.0</v>
      </c>
      <c r="I54" s="9">
        <v>0.21</v>
      </c>
      <c r="J54" s="8">
        <f t="shared" si="1"/>
        <v>9177.84</v>
      </c>
      <c r="K54" s="8">
        <f t="shared" si="2"/>
        <v>52881.84</v>
      </c>
      <c r="L54" s="4" t="s">
        <v>47</v>
      </c>
    </row>
    <row r="55" ht="15.75" customHeight="1">
      <c r="A55" s="6">
        <v>46076.0</v>
      </c>
      <c r="B55" s="4" t="s">
        <v>18</v>
      </c>
      <c r="C55" s="4" t="s">
        <v>196</v>
      </c>
      <c r="D55" s="4" t="s">
        <v>45</v>
      </c>
      <c r="E55" s="4" t="s">
        <v>197</v>
      </c>
      <c r="F55" s="4" t="s">
        <v>46</v>
      </c>
      <c r="G55" s="7">
        <v>3.0</v>
      </c>
      <c r="H55" s="8">
        <v>56650.0</v>
      </c>
      <c r="I55" s="9">
        <v>0.21</v>
      </c>
      <c r="J55" s="8">
        <f t="shared" si="1"/>
        <v>11896.5</v>
      </c>
      <c r="K55" s="8">
        <f t="shared" si="2"/>
        <v>68546.5</v>
      </c>
      <c r="L55" s="4" t="s">
        <v>36</v>
      </c>
    </row>
    <row r="56" ht="15.75" customHeight="1">
      <c r="A56" s="6">
        <v>46077.0</v>
      </c>
      <c r="B56" s="4" t="s">
        <v>37</v>
      </c>
      <c r="C56" s="4" t="s">
        <v>198</v>
      </c>
      <c r="D56" s="4" t="s">
        <v>20</v>
      </c>
      <c r="E56" s="4"/>
      <c r="F56" s="4" t="s">
        <v>25</v>
      </c>
      <c r="G56" s="7">
        <v>4.0</v>
      </c>
      <c r="H56" s="8">
        <v>69596.0</v>
      </c>
      <c r="I56" s="9">
        <v>0.21</v>
      </c>
      <c r="J56" s="8">
        <f t="shared" si="1"/>
        <v>14615.16</v>
      </c>
      <c r="K56" s="8">
        <f t="shared" si="2"/>
        <v>84211.16</v>
      </c>
      <c r="L56" s="4" t="s">
        <v>43</v>
      </c>
    </row>
    <row r="57" ht="15.75" customHeight="1">
      <c r="A57" s="6">
        <v>46078.0</v>
      </c>
      <c r="B57" s="4" t="s">
        <v>37</v>
      </c>
      <c r="C57" s="4" t="s">
        <v>199</v>
      </c>
      <c r="D57" s="4" t="s">
        <v>56</v>
      </c>
      <c r="E57" s="4"/>
      <c r="F57" s="4" t="s">
        <v>22</v>
      </c>
      <c r="G57" s="7">
        <v>5.0</v>
      </c>
      <c r="H57" s="8">
        <v>82542.0</v>
      </c>
      <c r="I57" s="9">
        <v>0.21</v>
      </c>
      <c r="J57" s="8">
        <f t="shared" si="1"/>
        <v>17333.82</v>
      </c>
      <c r="K57" s="8">
        <f t="shared" si="2"/>
        <v>99875.82</v>
      </c>
      <c r="L57" s="4" t="s">
        <v>49</v>
      </c>
    </row>
    <row r="58" ht="15.75" customHeight="1">
      <c r="A58" s="6">
        <v>46079.0</v>
      </c>
      <c r="B58" s="4" t="s">
        <v>37</v>
      </c>
      <c r="C58" s="4" t="s">
        <v>201</v>
      </c>
      <c r="D58" s="4" t="s">
        <v>20</v>
      </c>
      <c r="E58" s="4"/>
      <c r="F58" s="4" t="s">
        <v>39</v>
      </c>
      <c r="G58" s="7">
        <v>6.0</v>
      </c>
      <c r="H58" s="8">
        <v>95488.0</v>
      </c>
      <c r="I58" s="9">
        <v>0.21</v>
      </c>
      <c r="J58" s="8">
        <f t="shared" si="1"/>
        <v>20052.48</v>
      </c>
      <c r="K58" s="8">
        <f t="shared" si="2"/>
        <v>115540.48</v>
      </c>
      <c r="L58" s="4" t="s">
        <v>40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6" width="28.0"/>
    <col customWidth="1" min="7" max="7" width="10.63"/>
    <col customWidth="1" min="8" max="8" width="9.0"/>
    <col customWidth="1" min="9" max="9" width="9.38"/>
    <col customWidth="1" min="10" max="10" width="10.63"/>
    <col customWidth="1" min="11" max="11" width="19.0"/>
    <col customWidth="1" min="12" max="26" width="8.63"/>
  </cols>
  <sheetData>
    <row r="1" ht="30.0" customHeight="1">
      <c r="A1" s="3" t="s">
        <v>0</v>
      </c>
    </row>
    <row r="2">
      <c r="A2" s="2" t="s">
        <v>14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31.5" customHeight="1">
      <c r="A4" s="5" t="s">
        <v>5</v>
      </c>
      <c r="B4" s="5" t="s">
        <v>26</v>
      </c>
      <c r="C4" s="5" t="s">
        <v>27</v>
      </c>
      <c r="D4" s="5" t="s">
        <v>6</v>
      </c>
      <c r="E4" s="5" t="s">
        <v>28</v>
      </c>
      <c r="F4" s="5" t="s">
        <v>29</v>
      </c>
      <c r="G4" s="5" t="s">
        <v>12</v>
      </c>
      <c r="H4" s="5" t="s">
        <v>13</v>
      </c>
      <c r="I4" s="5" t="s">
        <v>30</v>
      </c>
      <c r="J4" s="5" t="s">
        <v>16</v>
      </c>
      <c r="K4" s="5" t="s">
        <v>31</v>
      </c>
    </row>
    <row r="5">
      <c r="A5" s="6">
        <v>46055.0</v>
      </c>
      <c r="B5" s="4" t="s">
        <v>32</v>
      </c>
      <c r="C5" s="4" t="s">
        <v>33</v>
      </c>
      <c r="D5" s="4" t="s">
        <v>18</v>
      </c>
      <c r="E5" s="4" t="s">
        <v>34</v>
      </c>
      <c r="F5" s="4" t="s">
        <v>35</v>
      </c>
      <c r="G5" s="8">
        <v>1350447.0</v>
      </c>
      <c r="H5" s="9">
        <v>0.105</v>
      </c>
      <c r="I5" s="8">
        <f t="shared" ref="I5:I22" si="1">ROUND(G5*H5,2)</f>
        <v>141796.94</v>
      </c>
      <c r="J5" s="8">
        <f t="shared" ref="J5:J22" si="2">ROUND(G5+I5,2)</f>
        <v>1492243.94</v>
      </c>
      <c r="K5" s="4" t="s">
        <v>36</v>
      </c>
    </row>
    <row r="6">
      <c r="A6" s="6">
        <v>46058.0</v>
      </c>
      <c r="B6" s="4" t="s">
        <v>51</v>
      </c>
      <c r="C6" s="4" t="s">
        <v>53</v>
      </c>
      <c r="D6" s="4" t="s">
        <v>37</v>
      </c>
      <c r="E6" s="4" t="s">
        <v>34</v>
      </c>
      <c r="F6" s="4" t="s">
        <v>35</v>
      </c>
      <c r="G6" s="8">
        <v>759444.0</v>
      </c>
      <c r="H6" s="9">
        <v>0.105</v>
      </c>
      <c r="I6" s="8">
        <f t="shared" si="1"/>
        <v>79741.62</v>
      </c>
      <c r="J6" s="8">
        <f t="shared" si="2"/>
        <v>839185.62</v>
      </c>
      <c r="K6" s="4" t="s">
        <v>49</v>
      </c>
    </row>
    <row r="7">
      <c r="A7" s="6">
        <v>46061.0</v>
      </c>
      <c r="B7" s="4" t="s">
        <v>62</v>
      </c>
      <c r="C7" s="4" t="s">
        <v>63</v>
      </c>
      <c r="D7" s="4" t="s">
        <v>37</v>
      </c>
      <c r="E7" s="4" t="s">
        <v>65</v>
      </c>
      <c r="F7" s="4" t="s">
        <v>67</v>
      </c>
      <c r="G7" s="8">
        <v>537738.0</v>
      </c>
      <c r="H7" s="9">
        <v>0.21</v>
      </c>
      <c r="I7" s="8">
        <f t="shared" si="1"/>
        <v>112924.98</v>
      </c>
      <c r="J7" s="8">
        <f t="shared" si="2"/>
        <v>650662.98</v>
      </c>
      <c r="K7" s="4" t="s">
        <v>47</v>
      </c>
    </row>
    <row r="8">
      <c r="A8" s="6">
        <v>46064.0</v>
      </c>
      <c r="B8" s="4" t="s">
        <v>72</v>
      </c>
      <c r="C8" s="4" t="s">
        <v>73</v>
      </c>
      <c r="D8" s="4" t="s">
        <v>18</v>
      </c>
      <c r="E8" s="4" t="s">
        <v>65</v>
      </c>
      <c r="F8" s="4" t="s">
        <v>67</v>
      </c>
      <c r="G8" s="8">
        <v>367071.0</v>
      </c>
      <c r="H8" s="9">
        <v>0.21</v>
      </c>
      <c r="I8" s="8">
        <f t="shared" si="1"/>
        <v>77084.91</v>
      </c>
      <c r="J8" s="8">
        <f t="shared" si="2"/>
        <v>444155.91</v>
      </c>
      <c r="K8" s="4" t="s">
        <v>43</v>
      </c>
    </row>
    <row r="9">
      <c r="A9" s="6">
        <v>46067.0</v>
      </c>
      <c r="B9" s="4" t="s">
        <v>77</v>
      </c>
      <c r="C9" s="4" t="s">
        <v>78</v>
      </c>
      <c r="D9" s="4" t="s">
        <v>37</v>
      </c>
      <c r="E9" s="4" t="s">
        <v>79</v>
      </c>
      <c r="F9" s="4" t="s">
        <v>81</v>
      </c>
      <c r="G9" s="8">
        <v>595367.0</v>
      </c>
      <c r="H9" s="9">
        <v>0.21</v>
      </c>
      <c r="I9" s="8">
        <f t="shared" si="1"/>
        <v>125027.07</v>
      </c>
      <c r="J9" s="8">
        <f t="shared" si="2"/>
        <v>720394.07</v>
      </c>
      <c r="K9" s="4" t="s">
        <v>40</v>
      </c>
    </row>
    <row r="10">
      <c r="A10" s="6">
        <v>46070.0</v>
      </c>
      <c r="B10" s="4" t="s">
        <v>84</v>
      </c>
      <c r="C10" s="4" t="s">
        <v>85</v>
      </c>
      <c r="D10" s="4" t="s">
        <v>37</v>
      </c>
      <c r="E10" s="4" t="s">
        <v>86</v>
      </c>
      <c r="F10" s="4" t="s">
        <v>88</v>
      </c>
      <c r="G10" s="8">
        <v>510806.0</v>
      </c>
      <c r="H10" s="9">
        <v>0.21</v>
      </c>
      <c r="I10" s="8">
        <f t="shared" si="1"/>
        <v>107269.26</v>
      </c>
      <c r="J10" s="8">
        <f t="shared" si="2"/>
        <v>618075.26</v>
      </c>
      <c r="K10" s="4" t="s">
        <v>36</v>
      </c>
    </row>
    <row r="11">
      <c r="A11" s="6">
        <v>46073.0</v>
      </c>
      <c r="B11" s="4" t="s">
        <v>90</v>
      </c>
      <c r="C11" s="4" t="s">
        <v>91</v>
      </c>
      <c r="D11" s="4" t="s">
        <v>18</v>
      </c>
      <c r="E11" s="4" t="s">
        <v>94</v>
      </c>
      <c r="F11" s="4" t="s">
        <v>95</v>
      </c>
      <c r="G11" s="8">
        <v>136995.0</v>
      </c>
      <c r="H11" s="9">
        <v>0.21</v>
      </c>
      <c r="I11" s="8">
        <f t="shared" si="1"/>
        <v>28768.95</v>
      </c>
      <c r="J11" s="8">
        <f t="shared" si="2"/>
        <v>165763.95</v>
      </c>
      <c r="K11" s="4" t="s">
        <v>49</v>
      </c>
    </row>
    <row r="12">
      <c r="A12" s="6">
        <v>46076.0</v>
      </c>
      <c r="B12" s="4" t="s">
        <v>97</v>
      </c>
      <c r="C12" s="4" t="s">
        <v>98</v>
      </c>
      <c r="D12" s="4" t="s">
        <v>37</v>
      </c>
      <c r="E12" s="4" t="s">
        <v>100</v>
      </c>
      <c r="F12" s="4" t="s">
        <v>101</v>
      </c>
      <c r="G12" s="8">
        <v>238526.0</v>
      </c>
      <c r="H12" s="9">
        <v>0.21</v>
      </c>
      <c r="I12" s="8">
        <f t="shared" si="1"/>
        <v>50090.46</v>
      </c>
      <c r="J12" s="8">
        <f t="shared" si="2"/>
        <v>288616.46</v>
      </c>
      <c r="K12" s="4" t="s">
        <v>47</v>
      </c>
    </row>
    <row r="13">
      <c r="A13" s="6">
        <v>46079.0</v>
      </c>
      <c r="B13" s="4" t="s">
        <v>103</v>
      </c>
      <c r="C13" s="4" t="s">
        <v>104</v>
      </c>
      <c r="D13" s="4" t="s">
        <v>37</v>
      </c>
      <c r="E13" s="4" t="s">
        <v>106</v>
      </c>
      <c r="F13" s="4" t="s">
        <v>107</v>
      </c>
      <c r="G13" s="8">
        <v>191636.0</v>
      </c>
      <c r="H13" s="9">
        <v>0.21</v>
      </c>
      <c r="I13" s="8">
        <f t="shared" si="1"/>
        <v>40243.56</v>
      </c>
      <c r="J13" s="8">
        <f t="shared" si="2"/>
        <v>231879.56</v>
      </c>
      <c r="K13" s="4" t="s">
        <v>43</v>
      </c>
    </row>
    <row r="14">
      <c r="A14" s="6">
        <v>46055.0</v>
      </c>
      <c r="B14" s="4" t="s">
        <v>111</v>
      </c>
      <c r="C14" s="4" t="s">
        <v>112</v>
      </c>
      <c r="D14" s="4" t="s">
        <v>18</v>
      </c>
      <c r="E14" s="4" t="s">
        <v>113</v>
      </c>
      <c r="F14" s="4" t="s">
        <v>114</v>
      </c>
      <c r="G14" s="8">
        <v>643802.0</v>
      </c>
      <c r="H14" s="9">
        <v>0.21</v>
      </c>
      <c r="I14" s="8">
        <f t="shared" si="1"/>
        <v>135198.42</v>
      </c>
      <c r="J14" s="8">
        <f t="shared" si="2"/>
        <v>779000.42</v>
      </c>
      <c r="K14" s="4" t="s">
        <v>40</v>
      </c>
    </row>
    <row r="15">
      <c r="A15" s="6">
        <v>46058.0</v>
      </c>
      <c r="B15" s="4" t="s">
        <v>118</v>
      </c>
      <c r="C15" s="4" t="s">
        <v>119</v>
      </c>
      <c r="D15" s="4" t="s">
        <v>37</v>
      </c>
      <c r="E15" s="4" t="s">
        <v>123</v>
      </c>
      <c r="F15" s="4" t="s">
        <v>124</v>
      </c>
      <c r="G15" s="8">
        <v>253233.0</v>
      </c>
      <c r="H15" s="9">
        <v>0.21</v>
      </c>
      <c r="I15" s="8">
        <f t="shared" si="1"/>
        <v>53178.93</v>
      </c>
      <c r="J15" s="8">
        <f t="shared" si="2"/>
        <v>306411.93</v>
      </c>
      <c r="K15" s="4" t="s">
        <v>36</v>
      </c>
    </row>
    <row r="16">
      <c r="A16" s="6">
        <v>46061.0</v>
      </c>
      <c r="B16" s="4" t="s">
        <v>127</v>
      </c>
      <c r="C16" s="4" t="s">
        <v>128</v>
      </c>
      <c r="D16" s="4" t="s">
        <v>37</v>
      </c>
      <c r="E16" s="4" t="s">
        <v>130</v>
      </c>
      <c r="F16" s="4" t="s">
        <v>131</v>
      </c>
      <c r="G16" s="8">
        <v>208345.0</v>
      </c>
      <c r="H16" s="9">
        <v>0.21</v>
      </c>
      <c r="I16" s="8">
        <f t="shared" si="1"/>
        <v>43752.45</v>
      </c>
      <c r="J16" s="8">
        <f t="shared" si="2"/>
        <v>252097.45</v>
      </c>
      <c r="K16" s="4" t="s">
        <v>49</v>
      </c>
    </row>
    <row r="17">
      <c r="A17" s="6">
        <v>46064.0</v>
      </c>
      <c r="B17" s="4" t="s">
        <v>134</v>
      </c>
      <c r="C17" s="4" t="s">
        <v>136</v>
      </c>
      <c r="D17" s="4" t="s">
        <v>18</v>
      </c>
      <c r="E17" s="4" t="s">
        <v>130</v>
      </c>
      <c r="F17" s="4" t="s">
        <v>131</v>
      </c>
      <c r="G17" s="8">
        <v>348397.0</v>
      </c>
      <c r="H17" s="9">
        <v>0.21</v>
      </c>
      <c r="I17" s="8">
        <f t="shared" si="1"/>
        <v>73163.37</v>
      </c>
      <c r="J17" s="8">
        <f t="shared" si="2"/>
        <v>421560.37</v>
      </c>
      <c r="K17" s="4" t="s">
        <v>47</v>
      </c>
    </row>
    <row r="18">
      <c r="A18" s="6">
        <v>46067.0</v>
      </c>
      <c r="B18" s="4" t="s">
        <v>141</v>
      </c>
      <c r="C18" s="4" t="s">
        <v>142</v>
      </c>
      <c r="D18" s="4" t="s">
        <v>37</v>
      </c>
      <c r="E18" s="4" t="s">
        <v>143</v>
      </c>
      <c r="F18" s="4" t="s">
        <v>144</v>
      </c>
      <c r="G18" s="8">
        <v>305393.0</v>
      </c>
      <c r="H18" s="9">
        <v>0.21</v>
      </c>
      <c r="I18" s="8">
        <f t="shared" si="1"/>
        <v>64132.53</v>
      </c>
      <c r="J18" s="8">
        <f t="shared" si="2"/>
        <v>369525.53</v>
      </c>
      <c r="K18" s="4" t="s">
        <v>43</v>
      </c>
    </row>
    <row r="19">
      <c r="A19" s="6">
        <v>46070.0</v>
      </c>
      <c r="B19" s="4" t="s">
        <v>147</v>
      </c>
      <c r="C19" s="4" t="s">
        <v>148</v>
      </c>
      <c r="D19" s="4" t="s">
        <v>37</v>
      </c>
      <c r="E19" s="4" t="s">
        <v>143</v>
      </c>
      <c r="F19" s="4" t="s">
        <v>144</v>
      </c>
      <c r="G19" s="8">
        <v>170060.0</v>
      </c>
      <c r="H19" s="9">
        <v>0.21</v>
      </c>
      <c r="I19" s="8">
        <f t="shared" si="1"/>
        <v>35712.6</v>
      </c>
      <c r="J19" s="8">
        <f t="shared" si="2"/>
        <v>205772.6</v>
      </c>
      <c r="K19" s="4" t="s">
        <v>40</v>
      </c>
    </row>
    <row r="20">
      <c r="A20" s="6">
        <v>46073.0</v>
      </c>
      <c r="B20" s="4" t="s">
        <v>151</v>
      </c>
      <c r="C20" s="4" t="s">
        <v>152</v>
      </c>
      <c r="D20" s="4" t="s">
        <v>18</v>
      </c>
      <c r="E20" s="4" t="s">
        <v>130</v>
      </c>
      <c r="F20" s="4" t="s">
        <v>131</v>
      </c>
      <c r="G20" s="8">
        <v>259073.0</v>
      </c>
      <c r="H20" s="9">
        <v>0.21</v>
      </c>
      <c r="I20" s="8">
        <f t="shared" si="1"/>
        <v>54405.33</v>
      </c>
      <c r="J20" s="8">
        <f t="shared" si="2"/>
        <v>313478.33</v>
      </c>
      <c r="K20" s="4" t="s">
        <v>36</v>
      </c>
    </row>
    <row r="21" ht="15.75" customHeight="1">
      <c r="A21" s="6">
        <v>46076.0</v>
      </c>
      <c r="B21" s="4" t="s">
        <v>155</v>
      </c>
      <c r="C21" s="4" t="s">
        <v>156</v>
      </c>
      <c r="D21" s="4" t="s">
        <v>37</v>
      </c>
      <c r="E21" s="4" t="s">
        <v>123</v>
      </c>
      <c r="F21" s="4" t="s">
        <v>124</v>
      </c>
      <c r="G21" s="8">
        <v>322859.0</v>
      </c>
      <c r="H21" s="9">
        <v>0.21</v>
      </c>
      <c r="I21" s="8">
        <f t="shared" si="1"/>
        <v>67800.39</v>
      </c>
      <c r="J21" s="8">
        <f t="shared" si="2"/>
        <v>390659.39</v>
      </c>
      <c r="K21" s="4" t="s">
        <v>49</v>
      </c>
    </row>
    <row r="22" ht="15.75" customHeight="1">
      <c r="A22" s="6">
        <v>46079.0</v>
      </c>
      <c r="B22" s="4" t="s">
        <v>160</v>
      </c>
      <c r="C22" s="4" t="s">
        <v>161</v>
      </c>
      <c r="D22" s="4" t="s">
        <v>37</v>
      </c>
      <c r="E22" s="4" t="s">
        <v>162</v>
      </c>
      <c r="F22" s="4" t="s">
        <v>163</v>
      </c>
      <c r="G22" s="8">
        <v>141112.0</v>
      </c>
      <c r="H22" s="9">
        <v>0.21</v>
      </c>
      <c r="I22" s="8">
        <f t="shared" si="1"/>
        <v>29633.52</v>
      </c>
      <c r="J22" s="8">
        <f t="shared" si="2"/>
        <v>170745.52</v>
      </c>
      <c r="K22" s="4" t="s">
        <v>47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2" width="16.0"/>
    <col customWidth="1" min="3" max="3" width="11.25"/>
    <col customWidth="1" min="4" max="6" width="27.0"/>
    <col customWidth="1" min="7" max="7" width="6.75"/>
    <col customWidth="1" min="8" max="8" width="9.88"/>
    <col customWidth="1" min="9" max="9" width="9.0"/>
    <col customWidth="1" min="10" max="10" width="8.5"/>
    <col customWidth="1" min="11" max="11" width="9.38"/>
    <col customWidth="1" min="12" max="12" width="19.0"/>
    <col customWidth="1" min="13" max="26" width="8.63"/>
  </cols>
  <sheetData>
    <row r="1" ht="30.0" customHeight="1">
      <c r="A1" s="1" t="s">
        <v>222</v>
      </c>
    </row>
    <row r="2">
      <c r="A2" s="2" t="s">
        <v>4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31.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15</v>
      </c>
      <c r="K4" s="5" t="s">
        <v>16</v>
      </c>
      <c r="L4" s="5" t="s">
        <v>17</v>
      </c>
    </row>
    <row r="5">
      <c r="A5" s="6">
        <v>46082.0</v>
      </c>
      <c r="B5" s="4" t="s">
        <v>18</v>
      </c>
      <c r="C5" s="4" t="s">
        <v>223</v>
      </c>
      <c r="D5" s="4" t="s">
        <v>20</v>
      </c>
      <c r="E5" s="4" t="s">
        <v>224</v>
      </c>
      <c r="F5" s="4" t="s">
        <v>39</v>
      </c>
      <c r="G5" s="7">
        <v>1.0</v>
      </c>
      <c r="H5" s="8">
        <v>129979.0</v>
      </c>
      <c r="I5" s="9">
        <v>0.21</v>
      </c>
      <c r="J5" s="8">
        <f t="shared" ref="J5:J58" si="1">ROUND(H5*I5,2)</f>
        <v>27295.59</v>
      </c>
      <c r="K5" s="8">
        <f t="shared" ref="K5:K58" si="2">ROUND(H5+J5,2)</f>
        <v>157274.59</v>
      </c>
      <c r="L5" s="4" t="s">
        <v>49</v>
      </c>
    </row>
    <row r="6">
      <c r="A6" s="6">
        <v>46083.0</v>
      </c>
      <c r="B6" s="4" t="s">
        <v>37</v>
      </c>
      <c r="C6" s="4" t="s">
        <v>226</v>
      </c>
      <c r="D6" s="4" t="s">
        <v>54</v>
      </c>
      <c r="E6" s="4"/>
      <c r="F6" s="4" t="s">
        <v>46</v>
      </c>
      <c r="G6" s="7">
        <v>2.0</v>
      </c>
      <c r="H6" s="8">
        <v>52924.0</v>
      </c>
      <c r="I6" s="9">
        <v>0.21</v>
      </c>
      <c r="J6" s="8">
        <f t="shared" si="1"/>
        <v>11114.04</v>
      </c>
      <c r="K6" s="8">
        <f t="shared" si="2"/>
        <v>64038.04</v>
      </c>
      <c r="L6" s="4" t="s">
        <v>40</v>
      </c>
    </row>
    <row r="7">
      <c r="A7" s="6">
        <v>46084.0</v>
      </c>
      <c r="B7" s="4" t="s">
        <v>37</v>
      </c>
      <c r="C7" s="4" t="s">
        <v>229</v>
      </c>
      <c r="D7" s="4" t="s">
        <v>58</v>
      </c>
      <c r="E7" s="4"/>
      <c r="F7" s="4" t="s">
        <v>25</v>
      </c>
      <c r="G7" s="7">
        <v>3.0</v>
      </c>
      <c r="H7" s="8">
        <v>65870.0</v>
      </c>
      <c r="I7" s="9">
        <v>0.21</v>
      </c>
      <c r="J7" s="8">
        <f t="shared" si="1"/>
        <v>13832.7</v>
      </c>
      <c r="K7" s="8">
        <f t="shared" si="2"/>
        <v>79702.7</v>
      </c>
      <c r="L7" s="4" t="s">
        <v>47</v>
      </c>
    </row>
    <row r="8">
      <c r="A8" s="6">
        <v>46085.0</v>
      </c>
      <c r="B8" s="4" t="s">
        <v>37</v>
      </c>
      <c r="C8" s="4" t="s">
        <v>230</v>
      </c>
      <c r="D8" s="4" t="s">
        <v>20</v>
      </c>
      <c r="E8" s="4"/>
      <c r="F8" s="4" t="s">
        <v>22</v>
      </c>
      <c r="G8" s="7">
        <v>4.0</v>
      </c>
      <c r="H8" s="8">
        <v>78816.0</v>
      </c>
      <c r="I8" s="9">
        <v>0.21</v>
      </c>
      <c r="J8" s="8">
        <f t="shared" si="1"/>
        <v>16551.36</v>
      </c>
      <c r="K8" s="8">
        <f t="shared" si="2"/>
        <v>95367.36</v>
      </c>
      <c r="L8" s="4" t="s">
        <v>36</v>
      </c>
    </row>
    <row r="9">
      <c r="A9" s="6">
        <v>46086.0</v>
      </c>
      <c r="B9" s="4" t="s">
        <v>37</v>
      </c>
      <c r="C9" s="4" t="s">
        <v>231</v>
      </c>
      <c r="D9" s="4" t="s">
        <v>20</v>
      </c>
      <c r="E9" s="4"/>
      <c r="F9" s="4" t="s">
        <v>39</v>
      </c>
      <c r="G9" s="7">
        <v>5.0</v>
      </c>
      <c r="H9" s="8">
        <v>91762.0</v>
      </c>
      <c r="I9" s="9">
        <v>0.21</v>
      </c>
      <c r="J9" s="8">
        <f t="shared" si="1"/>
        <v>19270.02</v>
      </c>
      <c r="K9" s="8">
        <f t="shared" si="2"/>
        <v>111032.02</v>
      </c>
      <c r="L9" s="4" t="s">
        <v>43</v>
      </c>
    </row>
    <row r="10">
      <c r="A10" s="6">
        <v>46087.0</v>
      </c>
      <c r="B10" s="4" t="s">
        <v>37</v>
      </c>
      <c r="C10" s="4" t="s">
        <v>232</v>
      </c>
      <c r="D10" s="4" t="s">
        <v>20</v>
      </c>
      <c r="E10" s="4"/>
      <c r="F10" s="4" t="s">
        <v>46</v>
      </c>
      <c r="G10" s="7">
        <v>6.0</v>
      </c>
      <c r="H10" s="8">
        <v>104708.0</v>
      </c>
      <c r="I10" s="9">
        <v>0.21</v>
      </c>
      <c r="J10" s="8">
        <f t="shared" si="1"/>
        <v>21988.68</v>
      </c>
      <c r="K10" s="8">
        <f t="shared" si="2"/>
        <v>126696.68</v>
      </c>
      <c r="L10" s="4" t="s">
        <v>49</v>
      </c>
    </row>
    <row r="11">
      <c r="A11" s="6">
        <v>46088.0</v>
      </c>
      <c r="B11" s="4" t="s">
        <v>37</v>
      </c>
      <c r="C11" s="4" t="s">
        <v>234</v>
      </c>
      <c r="D11" s="4" t="s">
        <v>20</v>
      </c>
      <c r="E11" s="4"/>
      <c r="F11" s="4" t="s">
        <v>25</v>
      </c>
      <c r="G11" s="7">
        <v>1.0</v>
      </c>
      <c r="H11" s="8">
        <v>117654.0</v>
      </c>
      <c r="I11" s="9">
        <v>0.21</v>
      </c>
      <c r="J11" s="8">
        <f t="shared" si="1"/>
        <v>24707.34</v>
      </c>
      <c r="K11" s="8">
        <f t="shared" si="2"/>
        <v>142361.34</v>
      </c>
      <c r="L11" s="4" t="s">
        <v>40</v>
      </c>
    </row>
    <row r="12">
      <c r="A12" s="6">
        <v>46089.0</v>
      </c>
      <c r="B12" s="4" t="s">
        <v>37</v>
      </c>
      <c r="C12" s="4" t="s">
        <v>236</v>
      </c>
      <c r="D12" s="4" t="s">
        <v>45</v>
      </c>
      <c r="E12" s="4"/>
      <c r="F12" s="4" t="s">
        <v>22</v>
      </c>
      <c r="G12" s="7">
        <v>2.0</v>
      </c>
      <c r="H12" s="8">
        <v>130600.0</v>
      </c>
      <c r="I12" s="9">
        <v>0.21</v>
      </c>
      <c r="J12" s="8">
        <f t="shared" si="1"/>
        <v>27426</v>
      </c>
      <c r="K12" s="8">
        <f t="shared" si="2"/>
        <v>158026</v>
      </c>
      <c r="L12" s="4" t="s">
        <v>47</v>
      </c>
    </row>
    <row r="13">
      <c r="A13" s="6">
        <v>46090.0</v>
      </c>
      <c r="B13" s="4" t="s">
        <v>37</v>
      </c>
      <c r="C13" s="4" t="s">
        <v>238</v>
      </c>
      <c r="D13" s="4" t="s">
        <v>20</v>
      </c>
      <c r="E13" s="4"/>
      <c r="F13" s="4" t="s">
        <v>39</v>
      </c>
      <c r="G13" s="7">
        <v>3.0</v>
      </c>
      <c r="H13" s="8">
        <v>53545.0</v>
      </c>
      <c r="I13" s="9">
        <v>0.21</v>
      </c>
      <c r="J13" s="8">
        <f t="shared" si="1"/>
        <v>11244.45</v>
      </c>
      <c r="K13" s="8">
        <f t="shared" si="2"/>
        <v>64789.45</v>
      </c>
      <c r="L13" s="4" t="s">
        <v>36</v>
      </c>
    </row>
    <row r="14">
      <c r="A14" s="6">
        <v>46091.0</v>
      </c>
      <c r="B14" s="4" t="s">
        <v>37</v>
      </c>
      <c r="C14" s="4" t="s">
        <v>240</v>
      </c>
      <c r="D14" s="4" t="s">
        <v>56</v>
      </c>
      <c r="E14" s="4"/>
      <c r="F14" s="4" t="s">
        <v>46</v>
      </c>
      <c r="G14" s="7">
        <v>4.0</v>
      </c>
      <c r="H14" s="8">
        <v>66491.0</v>
      </c>
      <c r="I14" s="9">
        <v>0.21</v>
      </c>
      <c r="J14" s="8">
        <f t="shared" si="1"/>
        <v>13963.11</v>
      </c>
      <c r="K14" s="8">
        <f t="shared" si="2"/>
        <v>80454.11</v>
      </c>
      <c r="L14" s="4" t="s">
        <v>43</v>
      </c>
    </row>
    <row r="15">
      <c r="A15" s="6">
        <v>46092.0</v>
      </c>
      <c r="B15" s="4" t="s">
        <v>18</v>
      </c>
      <c r="C15" s="4" t="s">
        <v>242</v>
      </c>
      <c r="D15" s="4" t="s">
        <v>20</v>
      </c>
      <c r="E15" s="4" t="s">
        <v>243</v>
      </c>
      <c r="F15" s="4" t="s">
        <v>25</v>
      </c>
      <c r="G15" s="7">
        <v>5.0</v>
      </c>
      <c r="H15" s="8">
        <v>79437.0</v>
      </c>
      <c r="I15" s="9">
        <v>0.21</v>
      </c>
      <c r="J15" s="8">
        <f t="shared" si="1"/>
        <v>16681.77</v>
      </c>
      <c r="K15" s="8">
        <f t="shared" si="2"/>
        <v>96118.77</v>
      </c>
      <c r="L15" s="4" t="s">
        <v>49</v>
      </c>
    </row>
    <row r="16">
      <c r="A16" s="6">
        <v>46093.0</v>
      </c>
      <c r="B16" s="4" t="s">
        <v>37</v>
      </c>
      <c r="C16" s="4" t="s">
        <v>244</v>
      </c>
      <c r="D16" s="4" t="s">
        <v>42</v>
      </c>
      <c r="E16" s="4"/>
      <c r="F16" s="4" t="s">
        <v>22</v>
      </c>
      <c r="G16" s="7">
        <v>6.0</v>
      </c>
      <c r="H16" s="8">
        <v>92383.0</v>
      </c>
      <c r="I16" s="9">
        <v>0.21</v>
      </c>
      <c r="J16" s="8">
        <f t="shared" si="1"/>
        <v>19400.43</v>
      </c>
      <c r="K16" s="8">
        <f t="shared" si="2"/>
        <v>111783.43</v>
      </c>
      <c r="L16" s="4" t="s">
        <v>40</v>
      </c>
    </row>
    <row r="17">
      <c r="A17" s="6">
        <v>46094.0</v>
      </c>
      <c r="B17" s="4" t="s">
        <v>37</v>
      </c>
      <c r="C17" s="4" t="s">
        <v>246</v>
      </c>
      <c r="D17" s="4" t="s">
        <v>20</v>
      </c>
      <c r="E17" s="4"/>
      <c r="F17" s="4" t="s">
        <v>39</v>
      </c>
      <c r="G17" s="7">
        <v>1.0</v>
      </c>
      <c r="H17" s="8">
        <v>105329.0</v>
      </c>
      <c r="I17" s="9">
        <v>0.21</v>
      </c>
      <c r="J17" s="8">
        <f t="shared" si="1"/>
        <v>22119.09</v>
      </c>
      <c r="K17" s="8">
        <f t="shared" si="2"/>
        <v>127448.09</v>
      </c>
      <c r="L17" s="4" t="s">
        <v>47</v>
      </c>
    </row>
    <row r="18">
      <c r="A18" s="6">
        <v>46095.0</v>
      </c>
      <c r="B18" s="4" t="s">
        <v>37</v>
      </c>
      <c r="C18" s="4" t="s">
        <v>248</v>
      </c>
      <c r="D18" s="4" t="s">
        <v>54</v>
      </c>
      <c r="E18" s="4"/>
      <c r="F18" s="4" t="s">
        <v>46</v>
      </c>
      <c r="G18" s="7">
        <v>2.0</v>
      </c>
      <c r="H18" s="8">
        <v>118275.0</v>
      </c>
      <c r="I18" s="9">
        <v>0.21</v>
      </c>
      <c r="J18" s="8">
        <f t="shared" si="1"/>
        <v>24837.75</v>
      </c>
      <c r="K18" s="8">
        <f t="shared" si="2"/>
        <v>143112.75</v>
      </c>
      <c r="L18" s="4" t="s">
        <v>36</v>
      </c>
    </row>
    <row r="19">
      <c r="A19" s="6">
        <v>46096.0</v>
      </c>
      <c r="B19" s="4" t="s">
        <v>37</v>
      </c>
      <c r="C19" s="4" t="s">
        <v>250</v>
      </c>
      <c r="D19" s="4" t="s">
        <v>58</v>
      </c>
      <c r="E19" s="4"/>
      <c r="F19" s="4" t="s">
        <v>25</v>
      </c>
      <c r="G19" s="7">
        <v>3.0</v>
      </c>
      <c r="H19" s="8">
        <v>131221.0</v>
      </c>
      <c r="I19" s="9">
        <v>0.21</v>
      </c>
      <c r="J19" s="8">
        <f t="shared" si="1"/>
        <v>27556.41</v>
      </c>
      <c r="K19" s="8">
        <f t="shared" si="2"/>
        <v>158777.41</v>
      </c>
      <c r="L19" s="4" t="s">
        <v>43</v>
      </c>
    </row>
    <row r="20">
      <c r="A20" s="6">
        <v>46097.0</v>
      </c>
      <c r="B20" s="4" t="s">
        <v>37</v>
      </c>
      <c r="C20" s="4" t="s">
        <v>252</v>
      </c>
      <c r="D20" s="4" t="s">
        <v>20</v>
      </c>
      <c r="E20" s="4"/>
      <c r="F20" s="4" t="s">
        <v>22</v>
      </c>
      <c r="G20" s="7">
        <v>4.0</v>
      </c>
      <c r="H20" s="8">
        <v>54166.0</v>
      </c>
      <c r="I20" s="9">
        <v>0.21</v>
      </c>
      <c r="J20" s="8">
        <f t="shared" si="1"/>
        <v>11374.86</v>
      </c>
      <c r="K20" s="8">
        <f t="shared" si="2"/>
        <v>65540.86</v>
      </c>
      <c r="L20" s="4" t="s">
        <v>49</v>
      </c>
    </row>
    <row r="21" ht="15.75" customHeight="1">
      <c r="A21" s="6">
        <v>46098.0</v>
      </c>
      <c r="B21" s="4" t="s">
        <v>37</v>
      </c>
      <c r="C21" s="4" t="s">
        <v>256</v>
      </c>
      <c r="D21" s="4" t="s">
        <v>20</v>
      </c>
      <c r="E21" s="4"/>
      <c r="F21" s="4" t="s">
        <v>39</v>
      </c>
      <c r="G21" s="7">
        <v>5.0</v>
      </c>
      <c r="H21" s="8">
        <v>67112.0</v>
      </c>
      <c r="I21" s="9">
        <v>0.21</v>
      </c>
      <c r="J21" s="8">
        <f t="shared" si="1"/>
        <v>14093.52</v>
      </c>
      <c r="K21" s="8">
        <f t="shared" si="2"/>
        <v>81205.52</v>
      </c>
      <c r="L21" s="4" t="s">
        <v>40</v>
      </c>
    </row>
    <row r="22" ht="15.75" customHeight="1">
      <c r="A22" s="6">
        <v>46099.0</v>
      </c>
      <c r="B22" s="4" t="s">
        <v>37</v>
      </c>
      <c r="C22" s="4" t="s">
        <v>257</v>
      </c>
      <c r="D22" s="4" t="s">
        <v>20</v>
      </c>
      <c r="E22" s="4"/>
      <c r="F22" s="4" t="s">
        <v>46</v>
      </c>
      <c r="G22" s="7">
        <v>6.0</v>
      </c>
      <c r="H22" s="8">
        <v>80058.0</v>
      </c>
      <c r="I22" s="9">
        <v>0.21</v>
      </c>
      <c r="J22" s="8">
        <f t="shared" si="1"/>
        <v>16812.18</v>
      </c>
      <c r="K22" s="8">
        <f t="shared" si="2"/>
        <v>96870.18</v>
      </c>
      <c r="L22" s="4" t="s">
        <v>47</v>
      </c>
    </row>
    <row r="23" ht="15.75" customHeight="1">
      <c r="A23" s="6">
        <v>46100.0</v>
      </c>
      <c r="B23" s="4" t="s">
        <v>37</v>
      </c>
      <c r="C23" s="4" t="s">
        <v>258</v>
      </c>
      <c r="D23" s="4" t="s">
        <v>20</v>
      </c>
      <c r="E23" s="4"/>
      <c r="F23" s="4" t="s">
        <v>25</v>
      </c>
      <c r="G23" s="7">
        <v>1.0</v>
      </c>
      <c r="H23" s="8">
        <v>93004.0</v>
      </c>
      <c r="I23" s="9">
        <v>0.21</v>
      </c>
      <c r="J23" s="8">
        <f t="shared" si="1"/>
        <v>19530.84</v>
      </c>
      <c r="K23" s="8">
        <f t="shared" si="2"/>
        <v>112534.84</v>
      </c>
      <c r="L23" s="4" t="s">
        <v>36</v>
      </c>
    </row>
    <row r="24" ht="15.75" customHeight="1">
      <c r="A24" s="6">
        <v>46101.0</v>
      </c>
      <c r="B24" s="4" t="s">
        <v>37</v>
      </c>
      <c r="C24" s="4" t="s">
        <v>260</v>
      </c>
      <c r="D24" s="4" t="s">
        <v>45</v>
      </c>
      <c r="E24" s="4"/>
      <c r="F24" s="4" t="s">
        <v>22</v>
      </c>
      <c r="G24" s="7">
        <v>2.0</v>
      </c>
      <c r="H24" s="8">
        <v>105950.0</v>
      </c>
      <c r="I24" s="9">
        <v>0.21</v>
      </c>
      <c r="J24" s="8">
        <f t="shared" si="1"/>
        <v>22249.5</v>
      </c>
      <c r="K24" s="8">
        <f t="shared" si="2"/>
        <v>128199.5</v>
      </c>
      <c r="L24" s="4" t="s">
        <v>43</v>
      </c>
    </row>
    <row r="25" ht="15.75" customHeight="1">
      <c r="A25" s="6">
        <v>46102.0</v>
      </c>
      <c r="B25" s="4" t="s">
        <v>18</v>
      </c>
      <c r="C25" s="4" t="s">
        <v>265</v>
      </c>
      <c r="D25" s="4" t="s">
        <v>20</v>
      </c>
      <c r="E25" s="4" t="s">
        <v>266</v>
      </c>
      <c r="F25" s="4" t="s">
        <v>39</v>
      </c>
      <c r="G25" s="7">
        <v>3.0</v>
      </c>
      <c r="H25" s="8">
        <v>118896.0</v>
      </c>
      <c r="I25" s="9">
        <v>0.21</v>
      </c>
      <c r="J25" s="8">
        <f t="shared" si="1"/>
        <v>24968.16</v>
      </c>
      <c r="K25" s="8">
        <f t="shared" si="2"/>
        <v>143864.16</v>
      </c>
      <c r="L25" s="4" t="s">
        <v>49</v>
      </c>
    </row>
    <row r="26" ht="15.75" customHeight="1">
      <c r="A26" s="6">
        <v>46103.0</v>
      </c>
      <c r="B26" s="4" t="s">
        <v>37</v>
      </c>
      <c r="C26" s="4" t="s">
        <v>269</v>
      </c>
      <c r="D26" s="4" t="s">
        <v>56</v>
      </c>
      <c r="E26" s="4"/>
      <c r="F26" s="4" t="s">
        <v>46</v>
      </c>
      <c r="G26" s="7">
        <v>4.0</v>
      </c>
      <c r="H26" s="8">
        <v>131842.0</v>
      </c>
      <c r="I26" s="9">
        <v>0.21</v>
      </c>
      <c r="J26" s="8">
        <f t="shared" si="1"/>
        <v>27686.82</v>
      </c>
      <c r="K26" s="8">
        <f t="shared" si="2"/>
        <v>159528.82</v>
      </c>
      <c r="L26" s="4" t="s">
        <v>40</v>
      </c>
    </row>
    <row r="27" ht="15.75" customHeight="1">
      <c r="A27" s="6">
        <v>46104.0</v>
      </c>
      <c r="B27" s="4" t="s">
        <v>37</v>
      </c>
      <c r="C27" s="4" t="s">
        <v>273</v>
      </c>
      <c r="D27" s="4" t="s">
        <v>20</v>
      </c>
      <c r="E27" s="4"/>
      <c r="F27" s="4" t="s">
        <v>25</v>
      </c>
      <c r="G27" s="7">
        <v>5.0</v>
      </c>
      <c r="H27" s="8">
        <v>54787.0</v>
      </c>
      <c r="I27" s="9">
        <v>0.21</v>
      </c>
      <c r="J27" s="8">
        <f t="shared" si="1"/>
        <v>11505.27</v>
      </c>
      <c r="K27" s="8">
        <f t="shared" si="2"/>
        <v>66292.27</v>
      </c>
      <c r="L27" s="4" t="s">
        <v>47</v>
      </c>
    </row>
    <row r="28" ht="15.75" customHeight="1">
      <c r="A28" s="6">
        <v>46105.0</v>
      </c>
      <c r="B28" s="4" t="s">
        <v>37</v>
      </c>
      <c r="C28" s="4" t="s">
        <v>275</v>
      </c>
      <c r="D28" s="4" t="s">
        <v>42</v>
      </c>
      <c r="E28" s="4"/>
      <c r="F28" s="4" t="s">
        <v>22</v>
      </c>
      <c r="G28" s="7">
        <v>6.0</v>
      </c>
      <c r="H28" s="8">
        <v>67733.0</v>
      </c>
      <c r="I28" s="9">
        <v>0.21</v>
      </c>
      <c r="J28" s="8">
        <f t="shared" si="1"/>
        <v>14223.93</v>
      </c>
      <c r="K28" s="8">
        <f t="shared" si="2"/>
        <v>81956.93</v>
      </c>
      <c r="L28" s="4" t="s">
        <v>36</v>
      </c>
    </row>
    <row r="29" ht="15.75" customHeight="1">
      <c r="A29" s="6">
        <v>46106.0</v>
      </c>
      <c r="B29" s="4" t="s">
        <v>37</v>
      </c>
      <c r="C29" s="4" t="s">
        <v>278</v>
      </c>
      <c r="D29" s="4" t="s">
        <v>20</v>
      </c>
      <c r="E29" s="4"/>
      <c r="F29" s="4" t="s">
        <v>39</v>
      </c>
      <c r="G29" s="7">
        <v>1.0</v>
      </c>
      <c r="H29" s="8">
        <v>80679.0</v>
      </c>
      <c r="I29" s="9">
        <v>0.21</v>
      </c>
      <c r="J29" s="8">
        <f t="shared" si="1"/>
        <v>16942.59</v>
      </c>
      <c r="K29" s="8">
        <f t="shared" si="2"/>
        <v>97621.59</v>
      </c>
      <c r="L29" s="4" t="s">
        <v>43</v>
      </c>
    </row>
    <row r="30" ht="15.75" customHeight="1">
      <c r="A30" s="6">
        <v>46107.0</v>
      </c>
      <c r="B30" s="4" t="s">
        <v>37</v>
      </c>
      <c r="C30" s="4" t="s">
        <v>280</v>
      </c>
      <c r="D30" s="4" t="s">
        <v>54</v>
      </c>
      <c r="E30" s="4"/>
      <c r="F30" s="4" t="s">
        <v>46</v>
      </c>
      <c r="G30" s="7">
        <v>2.0</v>
      </c>
      <c r="H30" s="8">
        <v>93625.0</v>
      </c>
      <c r="I30" s="9">
        <v>0.21</v>
      </c>
      <c r="J30" s="8">
        <f t="shared" si="1"/>
        <v>19661.25</v>
      </c>
      <c r="K30" s="8">
        <f t="shared" si="2"/>
        <v>113286.25</v>
      </c>
      <c r="L30" s="4" t="s">
        <v>49</v>
      </c>
    </row>
    <row r="31" ht="15.75" customHeight="1">
      <c r="A31" s="6">
        <v>46108.0</v>
      </c>
      <c r="B31" s="4" t="s">
        <v>37</v>
      </c>
      <c r="C31" s="4" t="s">
        <v>282</v>
      </c>
      <c r="D31" s="4" t="s">
        <v>58</v>
      </c>
      <c r="E31" s="4"/>
      <c r="F31" s="4" t="s">
        <v>25</v>
      </c>
      <c r="G31" s="7">
        <v>3.0</v>
      </c>
      <c r="H31" s="8">
        <v>106571.0</v>
      </c>
      <c r="I31" s="9">
        <v>0.21</v>
      </c>
      <c r="J31" s="8">
        <f t="shared" si="1"/>
        <v>22379.91</v>
      </c>
      <c r="K31" s="8">
        <f t="shared" si="2"/>
        <v>128950.91</v>
      </c>
      <c r="L31" s="4" t="s">
        <v>40</v>
      </c>
    </row>
    <row r="32" ht="15.75" customHeight="1">
      <c r="A32" s="6">
        <v>46109.0</v>
      </c>
      <c r="B32" s="4" t="s">
        <v>37</v>
      </c>
      <c r="C32" s="4" t="s">
        <v>284</v>
      </c>
      <c r="D32" s="4" t="s">
        <v>20</v>
      </c>
      <c r="E32" s="4"/>
      <c r="F32" s="4" t="s">
        <v>22</v>
      </c>
      <c r="G32" s="7">
        <v>4.0</v>
      </c>
      <c r="H32" s="8">
        <v>119517.0</v>
      </c>
      <c r="I32" s="9">
        <v>0.21</v>
      </c>
      <c r="J32" s="8">
        <f t="shared" si="1"/>
        <v>25098.57</v>
      </c>
      <c r="K32" s="8">
        <f t="shared" si="2"/>
        <v>144615.57</v>
      </c>
      <c r="L32" s="4" t="s">
        <v>47</v>
      </c>
    </row>
    <row r="33" ht="15.75" customHeight="1">
      <c r="A33" s="6">
        <v>46082.0</v>
      </c>
      <c r="B33" s="4" t="s">
        <v>37</v>
      </c>
      <c r="C33" s="4" t="s">
        <v>286</v>
      </c>
      <c r="D33" s="4" t="s">
        <v>20</v>
      </c>
      <c r="E33" s="4"/>
      <c r="F33" s="4" t="s">
        <v>39</v>
      </c>
      <c r="G33" s="7">
        <v>5.0</v>
      </c>
      <c r="H33" s="8">
        <v>42462.0</v>
      </c>
      <c r="I33" s="9">
        <v>0.21</v>
      </c>
      <c r="J33" s="8">
        <f t="shared" si="1"/>
        <v>8917.02</v>
      </c>
      <c r="K33" s="8">
        <f t="shared" si="2"/>
        <v>51379.02</v>
      </c>
      <c r="L33" s="4" t="s">
        <v>36</v>
      </c>
    </row>
    <row r="34" ht="15.75" customHeight="1">
      <c r="A34" s="6">
        <v>46083.0</v>
      </c>
      <c r="B34" s="4" t="s">
        <v>37</v>
      </c>
      <c r="C34" s="4" t="s">
        <v>288</v>
      </c>
      <c r="D34" s="4" t="s">
        <v>20</v>
      </c>
      <c r="E34" s="4"/>
      <c r="F34" s="4" t="s">
        <v>46</v>
      </c>
      <c r="G34" s="7">
        <v>6.0</v>
      </c>
      <c r="H34" s="8">
        <v>55408.0</v>
      </c>
      <c r="I34" s="9">
        <v>0.21</v>
      </c>
      <c r="J34" s="8">
        <f t="shared" si="1"/>
        <v>11635.68</v>
      </c>
      <c r="K34" s="8">
        <f t="shared" si="2"/>
        <v>67043.68</v>
      </c>
      <c r="L34" s="4" t="s">
        <v>43</v>
      </c>
    </row>
    <row r="35" ht="15.75" customHeight="1">
      <c r="A35" s="6">
        <v>46084.0</v>
      </c>
      <c r="B35" s="4" t="s">
        <v>18</v>
      </c>
      <c r="C35" s="4" t="s">
        <v>290</v>
      </c>
      <c r="D35" s="4" t="s">
        <v>20</v>
      </c>
      <c r="E35" s="4" t="s">
        <v>291</v>
      </c>
      <c r="F35" s="4" t="s">
        <v>25</v>
      </c>
      <c r="G35" s="7">
        <v>1.0</v>
      </c>
      <c r="H35" s="8">
        <v>68354.0</v>
      </c>
      <c r="I35" s="9">
        <v>0.21</v>
      </c>
      <c r="J35" s="8">
        <f t="shared" si="1"/>
        <v>14354.34</v>
      </c>
      <c r="K35" s="8">
        <f t="shared" si="2"/>
        <v>82708.34</v>
      </c>
      <c r="L35" s="4" t="s">
        <v>49</v>
      </c>
    </row>
    <row r="36" ht="15.75" customHeight="1">
      <c r="A36" s="6">
        <v>46085.0</v>
      </c>
      <c r="B36" s="4" t="s">
        <v>37</v>
      </c>
      <c r="C36" s="4" t="s">
        <v>293</v>
      </c>
      <c r="D36" s="4" t="s">
        <v>45</v>
      </c>
      <c r="E36" s="4"/>
      <c r="F36" s="4" t="s">
        <v>22</v>
      </c>
      <c r="G36" s="7">
        <v>2.0</v>
      </c>
      <c r="H36" s="8">
        <v>81300.0</v>
      </c>
      <c r="I36" s="9">
        <v>0.21</v>
      </c>
      <c r="J36" s="8">
        <f t="shared" si="1"/>
        <v>17073</v>
      </c>
      <c r="K36" s="8">
        <f t="shared" si="2"/>
        <v>98373</v>
      </c>
      <c r="L36" s="4" t="s">
        <v>40</v>
      </c>
    </row>
    <row r="37" ht="15.75" customHeight="1">
      <c r="A37" s="6">
        <v>46086.0</v>
      </c>
      <c r="B37" s="4" t="s">
        <v>37</v>
      </c>
      <c r="C37" s="4" t="s">
        <v>295</v>
      </c>
      <c r="D37" s="4" t="s">
        <v>20</v>
      </c>
      <c r="E37" s="4"/>
      <c r="F37" s="4" t="s">
        <v>39</v>
      </c>
      <c r="G37" s="7">
        <v>3.0</v>
      </c>
      <c r="H37" s="8">
        <v>94246.0</v>
      </c>
      <c r="I37" s="9">
        <v>0.21</v>
      </c>
      <c r="J37" s="8">
        <f t="shared" si="1"/>
        <v>19791.66</v>
      </c>
      <c r="K37" s="8">
        <f t="shared" si="2"/>
        <v>114037.66</v>
      </c>
      <c r="L37" s="4" t="s">
        <v>47</v>
      </c>
    </row>
    <row r="38" ht="15.75" customHeight="1">
      <c r="A38" s="6">
        <v>46087.0</v>
      </c>
      <c r="B38" s="4" t="s">
        <v>37</v>
      </c>
      <c r="C38" s="4" t="s">
        <v>297</v>
      </c>
      <c r="D38" s="4" t="s">
        <v>56</v>
      </c>
      <c r="E38" s="4"/>
      <c r="F38" s="4" t="s">
        <v>46</v>
      </c>
      <c r="G38" s="7">
        <v>4.0</v>
      </c>
      <c r="H38" s="8">
        <v>107192.0</v>
      </c>
      <c r="I38" s="9">
        <v>0.21</v>
      </c>
      <c r="J38" s="8">
        <f t="shared" si="1"/>
        <v>22510.32</v>
      </c>
      <c r="K38" s="8">
        <f t="shared" si="2"/>
        <v>129702.32</v>
      </c>
      <c r="L38" s="4" t="s">
        <v>36</v>
      </c>
    </row>
    <row r="39" ht="15.75" customHeight="1">
      <c r="A39" s="6">
        <v>46088.0</v>
      </c>
      <c r="B39" s="4" t="s">
        <v>37</v>
      </c>
      <c r="C39" s="4" t="s">
        <v>299</v>
      </c>
      <c r="D39" s="4" t="s">
        <v>20</v>
      </c>
      <c r="E39" s="4"/>
      <c r="F39" s="4" t="s">
        <v>25</v>
      </c>
      <c r="G39" s="7">
        <v>5.0</v>
      </c>
      <c r="H39" s="8">
        <v>120138.0</v>
      </c>
      <c r="I39" s="9">
        <v>0.21</v>
      </c>
      <c r="J39" s="8">
        <f t="shared" si="1"/>
        <v>25228.98</v>
      </c>
      <c r="K39" s="8">
        <f t="shared" si="2"/>
        <v>145366.98</v>
      </c>
      <c r="L39" s="4" t="s">
        <v>43</v>
      </c>
    </row>
    <row r="40" ht="15.75" customHeight="1">
      <c r="A40" s="6">
        <v>46089.0</v>
      </c>
      <c r="B40" s="4" t="s">
        <v>37</v>
      </c>
      <c r="C40" s="4" t="s">
        <v>301</v>
      </c>
      <c r="D40" s="4" t="s">
        <v>42</v>
      </c>
      <c r="E40" s="4"/>
      <c r="F40" s="4" t="s">
        <v>22</v>
      </c>
      <c r="G40" s="7">
        <v>6.0</v>
      </c>
      <c r="H40" s="8">
        <v>43083.0</v>
      </c>
      <c r="I40" s="9">
        <v>0.21</v>
      </c>
      <c r="J40" s="8">
        <f t="shared" si="1"/>
        <v>9047.43</v>
      </c>
      <c r="K40" s="8">
        <f t="shared" si="2"/>
        <v>52130.43</v>
      </c>
      <c r="L40" s="4" t="s">
        <v>49</v>
      </c>
    </row>
    <row r="41" ht="15.75" customHeight="1">
      <c r="A41" s="6">
        <v>46090.0</v>
      </c>
      <c r="B41" s="4" t="s">
        <v>37</v>
      </c>
      <c r="C41" s="4" t="s">
        <v>302</v>
      </c>
      <c r="D41" s="4" t="s">
        <v>20</v>
      </c>
      <c r="E41" s="4"/>
      <c r="F41" s="4" t="s">
        <v>39</v>
      </c>
      <c r="G41" s="7">
        <v>1.0</v>
      </c>
      <c r="H41" s="8">
        <v>56029.0</v>
      </c>
      <c r="I41" s="9">
        <v>0.21</v>
      </c>
      <c r="J41" s="8">
        <f t="shared" si="1"/>
        <v>11766.09</v>
      </c>
      <c r="K41" s="8">
        <f t="shared" si="2"/>
        <v>67795.09</v>
      </c>
      <c r="L41" s="4" t="s">
        <v>40</v>
      </c>
    </row>
    <row r="42" ht="15.75" customHeight="1">
      <c r="A42" s="6">
        <v>46091.0</v>
      </c>
      <c r="B42" s="4" t="s">
        <v>37</v>
      </c>
      <c r="C42" s="4" t="s">
        <v>304</v>
      </c>
      <c r="D42" s="4" t="s">
        <v>54</v>
      </c>
      <c r="E42" s="4"/>
      <c r="F42" s="4" t="s">
        <v>46</v>
      </c>
      <c r="G42" s="7">
        <v>2.0</v>
      </c>
      <c r="H42" s="8">
        <v>68975.0</v>
      </c>
      <c r="I42" s="9">
        <v>0.21</v>
      </c>
      <c r="J42" s="8">
        <f t="shared" si="1"/>
        <v>14484.75</v>
      </c>
      <c r="K42" s="8">
        <f t="shared" si="2"/>
        <v>83459.75</v>
      </c>
      <c r="L42" s="4" t="s">
        <v>47</v>
      </c>
    </row>
    <row r="43" ht="15.75" customHeight="1">
      <c r="A43" s="6">
        <v>46092.0</v>
      </c>
      <c r="B43" s="4" t="s">
        <v>37</v>
      </c>
      <c r="C43" s="4" t="s">
        <v>305</v>
      </c>
      <c r="D43" s="4" t="s">
        <v>58</v>
      </c>
      <c r="E43" s="4"/>
      <c r="F43" s="4" t="s">
        <v>25</v>
      </c>
      <c r="G43" s="7">
        <v>3.0</v>
      </c>
      <c r="H43" s="8">
        <v>81921.0</v>
      </c>
      <c r="I43" s="9">
        <v>0.21</v>
      </c>
      <c r="J43" s="8">
        <f t="shared" si="1"/>
        <v>17203.41</v>
      </c>
      <c r="K43" s="8">
        <f t="shared" si="2"/>
        <v>99124.41</v>
      </c>
      <c r="L43" s="4" t="s">
        <v>36</v>
      </c>
    </row>
    <row r="44" ht="15.75" customHeight="1">
      <c r="A44" s="6">
        <v>46093.0</v>
      </c>
      <c r="B44" s="4" t="s">
        <v>37</v>
      </c>
      <c r="C44" s="4" t="s">
        <v>307</v>
      </c>
      <c r="D44" s="4" t="s">
        <v>20</v>
      </c>
      <c r="E44" s="4"/>
      <c r="F44" s="4" t="s">
        <v>22</v>
      </c>
      <c r="G44" s="7">
        <v>4.0</v>
      </c>
      <c r="H44" s="8">
        <v>94867.0</v>
      </c>
      <c r="I44" s="9">
        <v>0.21</v>
      </c>
      <c r="J44" s="8">
        <f t="shared" si="1"/>
        <v>19922.07</v>
      </c>
      <c r="K44" s="8">
        <f t="shared" si="2"/>
        <v>114789.07</v>
      </c>
      <c r="L44" s="4" t="s">
        <v>43</v>
      </c>
    </row>
    <row r="45" ht="15.75" customHeight="1">
      <c r="A45" s="6">
        <v>46094.0</v>
      </c>
      <c r="B45" s="4" t="s">
        <v>18</v>
      </c>
      <c r="C45" s="4" t="s">
        <v>309</v>
      </c>
      <c r="D45" s="4" t="s">
        <v>20</v>
      </c>
      <c r="E45" s="4" t="s">
        <v>310</v>
      </c>
      <c r="F45" s="4" t="s">
        <v>39</v>
      </c>
      <c r="G45" s="7">
        <v>5.0</v>
      </c>
      <c r="H45" s="8">
        <v>107813.0</v>
      </c>
      <c r="I45" s="9">
        <v>0.21</v>
      </c>
      <c r="J45" s="8">
        <f t="shared" si="1"/>
        <v>22640.73</v>
      </c>
      <c r="K45" s="8">
        <f t="shared" si="2"/>
        <v>130453.73</v>
      </c>
      <c r="L45" s="4" t="s">
        <v>49</v>
      </c>
    </row>
    <row r="46" ht="15.75" customHeight="1">
      <c r="A46" s="6">
        <v>46095.0</v>
      </c>
      <c r="B46" s="4" t="s">
        <v>37</v>
      </c>
      <c r="C46" s="4" t="s">
        <v>313</v>
      </c>
      <c r="D46" s="4" t="s">
        <v>20</v>
      </c>
      <c r="E46" s="4"/>
      <c r="F46" s="4" t="s">
        <v>46</v>
      </c>
      <c r="G46" s="7">
        <v>6.0</v>
      </c>
      <c r="H46" s="8">
        <v>120759.0</v>
      </c>
      <c r="I46" s="9">
        <v>0.21</v>
      </c>
      <c r="J46" s="8">
        <f t="shared" si="1"/>
        <v>25359.39</v>
      </c>
      <c r="K46" s="8">
        <f t="shared" si="2"/>
        <v>146118.39</v>
      </c>
      <c r="L46" s="4" t="s">
        <v>40</v>
      </c>
    </row>
    <row r="47" ht="15.75" customHeight="1">
      <c r="A47" s="6">
        <v>46096.0</v>
      </c>
      <c r="B47" s="4" t="s">
        <v>37</v>
      </c>
      <c r="C47" s="4" t="s">
        <v>315</v>
      </c>
      <c r="D47" s="4" t="s">
        <v>20</v>
      </c>
      <c r="E47" s="4"/>
      <c r="F47" s="4" t="s">
        <v>25</v>
      </c>
      <c r="G47" s="7">
        <v>1.0</v>
      </c>
      <c r="H47" s="8">
        <v>43704.0</v>
      </c>
      <c r="I47" s="9">
        <v>0.21</v>
      </c>
      <c r="J47" s="8">
        <f t="shared" si="1"/>
        <v>9177.84</v>
      </c>
      <c r="K47" s="8">
        <f t="shared" si="2"/>
        <v>52881.84</v>
      </c>
      <c r="L47" s="4" t="s">
        <v>47</v>
      </c>
    </row>
    <row r="48" ht="15.75" customHeight="1">
      <c r="A48" s="6">
        <v>46097.0</v>
      </c>
      <c r="B48" s="4" t="s">
        <v>37</v>
      </c>
      <c r="C48" s="4" t="s">
        <v>319</v>
      </c>
      <c r="D48" s="4" t="s">
        <v>45</v>
      </c>
      <c r="E48" s="4"/>
      <c r="F48" s="4" t="s">
        <v>22</v>
      </c>
      <c r="G48" s="7">
        <v>2.0</v>
      </c>
      <c r="H48" s="8">
        <v>56650.0</v>
      </c>
      <c r="I48" s="9">
        <v>0.21</v>
      </c>
      <c r="J48" s="8">
        <f t="shared" si="1"/>
        <v>11896.5</v>
      </c>
      <c r="K48" s="8">
        <f t="shared" si="2"/>
        <v>68546.5</v>
      </c>
      <c r="L48" s="4" t="s">
        <v>36</v>
      </c>
    </row>
    <row r="49" ht="15.75" customHeight="1">
      <c r="A49" s="6">
        <v>46098.0</v>
      </c>
      <c r="B49" s="4" t="s">
        <v>37</v>
      </c>
      <c r="C49" s="4" t="s">
        <v>321</v>
      </c>
      <c r="D49" s="4" t="s">
        <v>20</v>
      </c>
      <c r="E49" s="4"/>
      <c r="F49" s="4" t="s">
        <v>39</v>
      </c>
      <c r="G49" s="7">
        <v>3.0</v>
      </c>
      <c r="H49" s="8">
        <v>69596.0</v>
      </c>
      <c r="I49" s="9">
        <v>0.21</v>
      </c>
      <c r="J49" s="8">
        <f t="shared" si="1"/>
        <v>14615.16</v>
      </c>
      <c r="K49" s="8">
        <f t="shared" si="2"/>
        <v>84211.16</v>
      </c>
      <c r="L49" s="4" t="s">
        <v>43</v>
      </c>
    </row>
    <row r="50" ht="15.75" customHeight="1">
      <c r="A50" s="6">
        <v>46099.0</v>
      </c>
      <c r="B50" s="4" t="s">
        <v>37</v>
      </c>
      <c r="C50" s="4" t="s">
        <v>323</v>
      </c>
      <c r="D50" s="4" t="s">
        <v>56</v>
      </c>
      <c r="E50" s="4"/>
      <c r="F50" s="4" t="s">
        <v>46</v>
      </c>
      <c r="G50" s="7">
        <v>4.0</v>
      </c>
      <c r="H50" s="8">
        <v>82542.0</v>
      </c>
      <c r="I50" s="9">
        <v>0.21</v>
      </c>
      <c r="J50" s="8">
        <f t="shared" si="1"/>
        <v>17333.82</v>
      </c>
      <c r="K50" s="8">
        <f t="shared" si="2"/>
        <v>99875.82</v>
      </c>
      <c r="L50" s="4" t="s">
        <v>49</v>
      </c>
    </row>
    <row r="51" ht="15.75" customHeight="1">
      <c r="A51" s="6">
        <v>46100.0</v>
      </c>
      <c r="B51" s="4" t="s">
        <v>37</v>
      </c>
      <c r="C51" s="4" t="s">
        <v>325</v>
      </c>
      <c r="D51" s="4" t="s">
        <v>20</v>
      </c>
      <c r="E51" s="4"/>
      <c r="F51" s="4" t="s">
        <v>25</v>
      </c>
      <c r="G51" s="7">
        <v>5.0</v>
      </c>
      <c r="H51" s="8">
        <v>95488.0</v>
      </c>
      <c r="I51" s="9">
        <v>0.21</v>
      </c>
      <c r="J51" s="8">
        <f t="shared" si="1"/>
        <v>20052.48</v>
      </c>
      <c r="K51" s="8">
        <f t="shared" si="2"/>
        <v>115540.48</v>
      </c>
      <c r="L51" s="4" t="s">
        <v>40</v>
      </c>
    </row>
    <row r="52" ht="15.75" customHeight="1">
      <c r="A52" s="6">
        <v>46101.0</v>
      </c>
      <c r="B52" s="4" t="s">
        <v>37</v>
      </c>
      <c r="C52" s="4" t="s">
        <v>327</v>
      </c>
      <c r="D52" s="4" t="s">
        <v>42</v>
      </c>
      <c r="E52" s="4"/>
      <c r="F52" s="4" t="s">
        <v>22</v>
      </c>
      <c r="G52" s="7">
        <v>6.0</v>
      </c>
      <c r="H52" s="8">
        <v>108434.0</v>
      </c>
      <c r="I52" s="9">
        <v>0.21</v>
      </c>
      <c r="J52" s="8">
        <f t="shared" si="1"/>
        <v>22771.14</v>
      </c>
      <c r="K52" s="8">
        <f t="shared" si="2"/>
        <v>131205.14</v>
      </c>
      <c r="L52" s="4" t="s">
        <v>47</v>
      </c>
    </row>
    <row r="53" ht="15.75" customHeight="1">
      <c r="A53" s="6">
        <v>46102.0</v>
      </c>
      <c r="B53" s="4" t="s">
        <v>37</v>
      </c>
      <c r="C53" s="4" t="s">
        <v>329</v>
      </c>
      <c r="D53" s="4" t="s">
        <v>20</v>
      </c>
      <c r="E53" s="4"/>
      <c r="F53" s="4" t="s">
        <v>39</v>
      </c>
      <c r="G53" s="7">
        <v>1.0</v>
      </c>
      <c r="H53" s="8">
        <v>121380.0</v>
      </c>
      <c r="I53" s="9">
        <v>0.21</v>
      </c>
      <c r="J53" s="8">
        <f t="shared" si="1"/>
        <v>25489.8</v>
      </c>
      <c r="K53" s="8">
        <f t="shared" si="2"/>
        <v>146869.8</v>
      </c>
      <c r="L53" s="4" t="s">
        <v>36</v>
      </c>
    </row>
    <row r="54" ht="15.75" customHeight="1">
      <c r="A54" s="6">
        <v>46103.0</v>
      </c>
      <c r="B54" s="4" t="s">
        <v>37</v>
      </c>
      <c r="C54" s="4" t="s">
        <v>332</v>
      </c>
      <c r="D54" s="4" t="s">
        <v>54</v>
      </c>
      <c r="E54" s="4"/>
      <c r="F54" s="4" t="s">
        <v>46</v>
      </c>
      <c r="G54" s="7">
        <v>2.0</v>
      </c>
      <c r="H54" s="8">
        <v>44325.0</v>
      </c>
      <c r="I54" s="9">
        <v>0.21</v>
      </c>
      <c r="J54" s="8">
        <f t="shared" si="1"/>
        <v>9308.25</v>
      </c>
      <c r="K54" s="8">
        <f t="shared" si="2"/>
        <v>53633.25</v>
      </c>
      <c r="L54" s="4" t="s">
        <v>43</v>
      </c>
    </row>
    <row r="55" ht="15.75" customHeight="1">
      <c r="A55" s="6">
        <v>46104.0</v>
      </c>
      <c r="B55" s="4" t="s">
        <v>18</v>
      </c>
      <c r="C55" s="4" t="s">
        <v>334</v>
      </c>
      <c r="D55" s="4" t="s">
        <v>58</v>
      </c>
      <c r="E55" s="4" t="s">
        <v>336</v>
      </c>
      <c r="F55" s="4" t="s">
        <v>25</v>
      </c>
      <c r="G55" s="7">
        <v>3.0</v>
      </c>
      <c r="H55" s="8">
        <v>57271.0</v>
      </c>
      <c r="I55" s="9">
        <v>0.21</v>
      </c>
      <c r="J55" s="8">
        <f t="shared" si="1"/>
        <v>12026.91</v>
      </c>
      <c r="K55" s="8">
        <f t="shared" si="2"/>
        <v>69297.91</v>
      </c>
      <c r="L55" s="4" t="s">
        <v>49</v>
      </c>
    </row>
    <row r="56" ht="15.75" customHeight="1">
      <c r="A56" s="6">
        <v>46105.0</v>
      </c>
      <c r="B56" s="4" t="s">
        <v>37</v>
      </c>
      <c r="C56" s="4" t="s">
        <v>339</v>
      </c>
      <c r="D56" s="4" t="s">
        <v>20</v>
      </c>
      <c r="E56" s="4"/>
      <c r="F56" s="4" t="s">
        <v>22</v>
      </c>
      <c r="G56" s="7">
        <v>4.0</v>
      </c>
      <c r="H56" s="8">
        <v>70217.0</v>
      </c>
      <c r="I56" s="9">
        <v>0.21</v>
      </c>
      <c r="J56" s="8">
        <f t="shared" si="1"/>
        <v>14745.57</v>
      </c>
      <c r="K56" s="8">
        <f t="shared" si="2"/>
        <v>84962.57</v>
      </c>
      <c r="L56" s="4" t="s">
        <v>40</v>
      </c>
    </row>
    <row r="57" ht="15.75" customHeight="1">
      <c r="A57" s="6">
        <v>46106.0</v>
      </c>
      <c r="B57" s="4" t="s">
        <v>37</v>
      </c>
      <c r="C57" s="4" t="s">
        <v>341</v>
      </c>
      <c r="D57" s="4" t="s">
        <v>20</v>
      </c>
      <c r="E57" s="4"/>
      <c r="F57" s="4" t="s">
        <v>39</v>
      </c>
      <c r="G57" s="7">
        <v>5.0</v>
      </c>
      <c r="H57" s="8">
        <v>83163.0</v>
      </c>
      <c r="I57" s="9">
        <v>0.21</v>
      </c>
      <c r="J57" s="8">
        <f t="shared" si="1"/>
        <v>17464.23</v>
      </c>
      <c r="K57" s="8">
        <f t="shared" si="2"/>
        <v>100627.23</v>
      </c>
      <c r="L57" s="4" t="s">
        <v>47</v>
      </c>
    </row>
    <row r="58" ht="15.75" customHeight="1">
      <c r="A58" s="6">
        <v>46107.0</v>
      </c>
      <c r="B58" s="4" t="s">
        <v>37</v>
      </c>
      <c r="C58" s="4" t="s">
        <v>343</v>
      </c>
      <c r="D58" s="4" t="s">
        <v>20</v>
      </c>
      <c r="E58" s="4"/>
      <c r="F58" s="4" t="s">
        <v>46</v>
      </c>
      <c r="G58" s="7">
        <v>6.0</v>
      </c>
      <c r="H58" s="8">
        <v>96109.0</v>
      </c>
      <c r="I58" s="9">
        <v>0.21</v>
      </c>
      <c r="J58" s="8">
        <f t="shared" si="1"/>
        <v>20182.89</v>
      </c>
      <c r="K58" s="8">
        <f t="shared" si="2"/>
        <v>116291.89</v>
      </c>
      <c r="L58" s="4" t="s">
        <v>36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6" width="28.0"/>
    <col customWidth="1" min="7" max="7" width="9.88"/>
    <col customWidth="1" min="8" max="8" width="9.0"/>
    <col customWidth="1" min="9" max="9" width="8.5"/>
    <col customWidth="1" min="10" max="10" width="9.38"/>
    <col customWidth="1" min="11" max="11" width="19.0"/>
    <col customWidth="1" min="12" max="26" width="8.63"/>
  </cols>
  <sheetData>
    <row r="1" ht="30.0" customHeight="1">
      <c r="A1" s="3" t="s">
        <v>221</v>
      </c>
    </row>
    <row r="2">
      <c r="A2" s="2" t="s">
        <v>14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31.5" customHeight="1">
      <c r="A4" s="5" t="s">
        <v>5</v>
      </c>
      <c r="B4" s="5" t="s">
        <v>26</v>
      </c>
      <c r="C4" s="5" t="s">
        <v>27</v>
      </c>
      <c r="D4" s="5" t="s">
        <v>6</v>
      </c>
      <c r="E4" s="5" t="s">
        <v>28</v>
      </c>
      <c r="F4" s="5" t="s">
        <v>29</v>
      </c>
      <c r="G4" s="5" t="s">
        <v>12</v>
      </c>
      <c r="H4" s="5" t="s">
        <v>13</v>
      </c>
      <c r="I4" s="5" t="s">
        <v>30</v>
      </c>
      <c r="J4" s="5" t="s">
        <v>16</v>
      </c>
      <c r="K4" s="5" t="s">
        <v>31</v>
      </c>
    </row>
    <row r="5">
      <c r="A5" s="6">
        <v>46083.0</v>
      </c>
      <c r="B5" s="4" t="s">
        <v>32</v>
      </c>
      <c r="C5" s="4" t="s">
        <v>33</v>
      </c>
      <c r="D5" s="4" t="s">
        <v>18</v>
      </c>
      <c r="E5" s="4" t="s">
        <v>34</v>
      </c>
      <c r="F5" s="4" t="s">
        <v>35</v>
      </c>
      <c r="G5" s="8">
        <v>220275.0</v>
      </c>
      <c r="H5" s="9">
        <v>0.105</v>
      </c>
      <c r="I5" s="8">
        <f t="shared" ref="I5:I22" si="1">ROUND(G5*H5,2)</f>
        <v>23128.88</v>
      </c>
      <c r="J5" s="8">
        <f t="shared" ref="J5:J22" si="2">ROUND(G5+I5,2)</f>
        <v>243403.88</v>
      </c>
      <c r="K5" s="4" t="s">
        <v>49</v>
      </c>
    </row>
    <row r="6">
      <c r="A6" s="6">
        <v>46086.0</v>
      </c>
      <c r="B6" s="4" t="s">
        <v>51</v>
      </c>
      <c r="C6" s="4" t="s">
        <v>53</v>
      </c>
      <c r="D6" s="4" t="s">
        <v>37</v>
      </c>
      <c r="E6" s="4" t="s">
        <v>34</v>
      </c>
      <c r="F6" s="4" t="s">
        <v>35</v>
      </c>
      <c r="G6" s="8">
        <v>179953.0</v>
      </c>
      <c r="H6" s="9">
        <v>0.105</v>
      </c>
      <c r="I6" s="8">
        <f t="shared" si="1"/>
        <v>18895.07</v>
      </c>
      <c r="J6" s="8">
        <f t="shared" si="2"/>
        <v>198848.07</v>
      </c>
      <c r="K6" s="4" t="s">
        <v>47</v>
      </c>
    </row>
    <row r="7">
      <c r="A7" s="6">
        <v>46089.0</v>
      </c>
      <c r="B7" s="4" t="s">
        <v>62</v>
      </c>
      <c r="C7" s="4" t="s">
        <v>63</v>
      </c>
      <c r="D7" s="4" t="s">
        <v>37</v>
      </c>
      <c r="E7" s="4" t="s">
        <v>65</v>
      </c>
      <c r="F7" s="4" t="s">
        <v>67</v>
      </c>
      <c r="G7" s="8">
        <v>79186.0</v>
      </c>
      <c r="H7" s="9">
        <v>0.21</v>
      </c>
      <c r="I7" s="8">
        <f t="shared" si="1"/>
        <v>16629.06</v>
      </c>
      <c r="J7" s="8">
        <f t="shared" si="2"/>
        <v>95815.06</v>
      </c>
      <c r="K7" s="4" t="s">
        <v>43</v>
      </c>
    </row>
    <row r="8">
      <c r="A8" s="6">
        <v>46092.0</v>
      </c>
      <c r="B8" s="4" t="s">
        <v>72</v>
      </c>
      <c r="C8" s="4" t="s">
        <v>73</v>
      </c>
      <c r="D8" s="4" t="s">
        <v>18</v>
      </c>
      <c r="E8" s="4" t="s">
        <v>65</v>
      </c>
      <c r="F8" s="4" t="s">
        <v>67</v>
      </c>
      <c r="G8" s="8">
        <v>61656.0</v>
      </c>
      <c r="H8" s="9">
        <v>0.21</v>
      </c>
      <c r="I8" s="8">
        <f t="shared" si="1"/>
        <v>12947.76</v>
      </c>
      <c r="J8" s="8">
        <f t="shared" si="2"/>
        <v>74603.76</v>
      </c>
      <c r="K8" s="4" t="s">
        <v>40</v>
      </c>
    </row>
    <row r="9">
      <c r="A9" s="6">
        <v>46095.0</v>
      </c>
      <c r="B9" s="4" t="s">
        <v>77</v>
      </c>
      <c r="C9" s="4" t="s">
        <v>78</v>
      </c>
      <c r="D9" s="4" t="s">
        <v>37</v>
      </c>
      <c r="E9" s="4" t="s">
        <v>79</v>
      </c>
      <c r="F9" s="4" t="s">
        <v>81</v>
      </c>
      <c r="G9" s="8">
        <v>88481.0</v>
      </c>
      <c r="H9" s="9">
        <v>0.21</v>
      </c>
      <c r="I9" s="8">
        <f t="shared" si="1"/>
        <v>18581.01</v>
      </c>
      <c r="J9" s="8">
        <f t="shared" si="2"/>
        <v>107062.01</v>
      </c>
      <c r="K9" s="4" t="s">
        <v>36</v>
      </c>
    </row>
    <row r="10">
      <c r="A10" s="6">
        <v>46098.0</v>
      </c>
      <c r="B10" s="4" t="s">
        <v>84</v>
      </c>
      <c r="C10" s="4" t="s">
        <v>85</v>
      </c>
      <c r="D10" s="4" t="s">
        <v>37</v>
      </c>
      <c r="E10" s="4" t="s">
        <v>86</v>
      </c>
      <c r="F10" s="4" t="s">
        <v>88</v>
      </c>
      <c r="G10" s="8">
        <v>84837.0</v>
      </c>
      <c r="H10" s="9">
        <v>0.21</v>
      </c>
      <c r="I10" s="8">
        <f t="shared" si="1"/>
        <v>17815.77</v>
      </c>
      <c r="J10" s="8">
        <f t="shared" si="2"/>
        <v>102652.77</v>
      </c>
      <c r="K10" s="4" t="s">
        <v>49</v>
      </c>
    </row>
    <row r="11">
      <c r="A11" s="6">
        <v>46101.0</v>
      </c>
      <c r="B11" s="4" t="s">
        <v>90</v>
      </c>
      <c r="C11" s="4" t="s">
        <v>91</v>
      </c>
      <c r="D11" s="4" t="s">
        <v>18</v>
      </c>
      <c r="E11" s="4" t="s">
        <v>94</v>
      </c>
      <c r="F11" s="4" t="s">
        <v>95</v>
      </c>
      <c r="G11" s="8">
        <v>28475.0</v>
      </c>
      <c r="H11" s="9">
        <v>0.21</v>
      </c>
      <c r="I11" s="8">
        <f t="shared" si="1"/>
        <v>5979.75</v>
      </c>
      <c r="J11" s="8">
        <f t="shared" si="2"/>
        <v>34454.75</v>
      </c>
      <c r="K11" s="4" t="s">
        <v>47</v>
      </c>
    </row>
    <row r="12">
      <c r="A12" s="6">
        <v>46104.0</v>
      </c>
      <c r="B12" s="4" t="s">
        <v>97</v>
      </c>
      <c r="C12" s="4" t="s">
        <v>98</v>
      </c>
      <c r="D12" s="4" t="s">
        <v>37</v>
      </c>
      <c r="E12" s="4" t="s">
        <v>100</v>
      </c>
      <c r="F12" s="4" t="s">
        <v>101</v>
      </c>
      <c r="G12" s="8">
        <v>26899.0</v>
      </c>
      <c r="H12" s="9">
        <v>0.21</v>
      </c>
      <c r="I12" s="8">
        <f t="shared" si="1"/>
        <v>5648.79</v>
      </c>
      <c r="J12" s="8">
        <f t="shared" si="2"/>
        <v>32547.79</v>
      </c>
      <c r="K12" s="4" t="s">
        <v>43</v>
      </c>
    </row>
    <row r="13">
      <c r="A13" s="6">
        <v>46107.0</v>
      </c>
      <c r="B13" s="4" t="s">
        <v>103</v>
      </c>
      <c r="C13" s="4" t="s">
        <v>104</v>
      </c>
      <c r="D13" s="4" t="s">
        <v>37</v>
      </c>
      <c r="E13" s="4" t="s">
        <v>106</v>
      </c>
      <c r="F13" s="4" t="s">
        <v>107</v>
      </c>
      <c r="G13" s="8">
        <v>51351.0</v>
      </c>
      <c r="H13" s="9">
        <v>0.21</v>
      </c>
      <c r="I13" s="8">
        <f t="shared" si="1"/>
        <v>10783.71</v>
      </c>
      <c r="J13" s="8">
        <f t="shared" si="2"/>
        <v>62134.71</v>
      </c>
      <c r="K13" s="4" t="s">
        <v>40</v>
      </c>
    </row>
    <row r="14">
      <c r="A14" s="6">
        <v>46083.0</v>
      </c>
      <c r="B14" s="4" t="s">
        <v>111</v>
      </c>
      <c r="C14" s="4" t="s">
        <v>112</v>
      </c>
      <c r="D14" s="4" t="s">
        <v>18</v>
      </c>
      <c r="E14" s="4" t="s">
        <v>113</v>
      </c>
      <c r="F14" s="4" t="s">
        <v>114</v>
      </c>
      <c r="G14" s="8">
        <v>126286.0</v>
      </c>
      <c r="H14" s="9">
        <v>0.21</v>
      </c>
      <c r="I14" s="8">
        <f t="shared" si="1"/>
        <v>26520.06</v>
      </c>
      <c r="J14" s="8">
        <f t="shared" si="2"/>
        <v>152806.06</v>
      </c>
      <c r="K14" s="4" t="s">
        <v>36</v>
      </c>
    </row>
    <row r="15">
      <c r="A15" s="6">
        <v>46086.0</v>
      </c>
      <c r="B15" s="4" t="s">
        <v>118</v>
      </c>
      <c r="C15" s="4" t="s">
        <v>119</v>
      </c>
      <c r="D15" s="4" t="s">
        <v>37</v>
      </c>
      <c r="E15" s="4" t="s">
        <v>123</v>
      </c>
      <c r="F15" s="4" t="s">
        <v>124</v>
      </c>
      <c r="G15" s="8">
        <v>33279.0</v>
      </c>
      <c r="H15" s="9">
        <v>0.21</v>
      </c>
      <c r="I15" s="8">
        <f t="shared" si="1"/>
        <v>6988.59</v>
      </c>
      <c r="J15" s="8">
        <f t="shared" si="2"/>
        <v>40267.59</v>
      </c>
      <c r="K15" s="4" t="s">
        <v>49</v>
      </c>
    </row>
    <row r="16">
      <c r="A16" s="6">
        <v>46089.0</v>
      </c>
      <c r="B16" s="4" t="s">
        <v>127</v>
      </c>
      <c r="C16" s="4" t="s">
        <v>128</v>
      </c>
      <c r="D16" s="4" t="s">
        <v>37</v>
      </c>
      <c r="E16" s="4" t="s">
        <v>130</v>
      </c>
      <c r="F16" s="4" t="s">
        <v>131</v>
      </c>
      <c r="G16" s="8">
        <v>61042.0</v>
      </c>
      <c r="H16" s="9">
        <v>0.21</v>
      </c>
      <c r="I16" s="8">
        <f t="shared" si="1"/>
        <v>12818.82</v>
      </c>
      <c r="J16" s="8">
        <f t="shared" si="2"/>
        <v>73860.82</v>
      </c>
      <c r="K16" s="4" t="s">
        <v>47</v>
      </c>
    </row>
    <row r="17">
      <c r="A17" s="6">
        <v>46092.0</v>
      </c>
      <c r="B17" s="4" t="s">
        <v>134</v>
      </c>
      <c r="C17" s="4" t="s">
        <v>136</v>
      </c>
      <c r="D17" s="4" t="s">
        <v>18</v>
      </c>
      <c r="E17" s="4" t="s">
        <v>130</v>
      </c>
      <c r="F17" s="4" t="s">
        <v>131</v>
      </c>
      <c r="G17" s="8">
        <v>46629.0</v>
      </c>
      <c r="H17" s="9">
        <v>0.21</v>
      </c>
      <c r="I17" s="8">
        <f t="shared" si="1"/>
        <v>9792.09</v>
      </c>
      <c r="J17" s="8">
        <f t="shared" si="2"/>
        <v>56421.09</v>
      </c>
      <c r="K17" s="4" t="s">
        <v>43</v>
      </c>
    </row>
    <row r="18">
      <c r="A18" s="6">
        <v>46095.0</v>
      </c>
      <c r="B18" s="4" t="s">
        <v>141</v>
      </c>
      <c r="C18" s="4" t="s">
        <v>142</v>
      </c>
      <c r="D18" s="4" t="s">
        <v>37</v>
      </c>
      <c r="E18" s="4" t="s">
        <v>143</v>
      </c>
      <c r="F18" s="4" t="s">
        <v>144</v>
      </c>
      <c r="G18" s="8">
        <v>66701.0</v>
      </c>
      <c r="H18" s="9">
        <v>0.21</v>
      </c>
      <c r="I18" s="8">
        <f t="shared" si="1"/>
        <v>14007.21</v>
      </c>
      <c r="J18" s="8">
        <f t="shared" si="2"/>
        <v>80708.21</v>
      </c>
      <c r="K18" s="4" t="s">
        <v>40</v>
      </c>
    </row>
    <row r="19">
      <c r="A19" s="6">
        <v>46098.0</v>
      </c>
      <c r="B19" s="4" t="s">
        <v>147</v>
      </c>
      <c r="C19" s="4" t="s">
        <v>148</v>
      </c>
      <c r="D19" s="4" t="s">
        <v>37</v>
      </c>
      <c r="E19" s="4" t="s">
        <v>143</v>
      </c>
      <c r="F19" s="4" t="s">
        <v>144</v>
      </c>
      <c r="G19" s="8">
        <v>29847.0</v>
      </c>
      <c r="H19" s="9">
        <v>0.21</v>
      </c>
      <c r="I19" s="8">
        <f t="shared" si="1"/>
        <v>6267.87</v>
      </c>
      <c r="J19" s="8">
        <f t="shared" si="2"/>
        <v>36114.87</v>
      </c>
      <c r="K19" s="4" t="s">
        <v>36</v>
      </c>
    </row>
    <row r="20">
      <c r="A20" s="6">
        <v>46101.0</v>
      </c>
      <c r="B20" s="4" t="s">
        <v>151</v>
      </c>
      <c r="C20" s="4" t="s">
        <v>152</v>
      </c>
      <c r="D20" s="4" t="s">
        <v>18</v>
      </c>
      <c r="E20" s="4" t="s">
        <v>130</v>
      </c>
      <c r="F20" s="4" t="s">
        <v>131</v>
      </c>
      <c r="G20" s="8">
        <v>31216.0</v>
      </c>
      <c r="H20" s="9">
        <v>0.21</v>
      </c>
      <c r="I20" s="8">
        <f t="shared" si="1"/>
        <v>6555.36</v>
      </c>
      <c r="J20" s="8">
        <f t="shared" si="2"/>
        <v>37771.36</v>
      </c>
      <c r="K20" s="4" t="s">
        <v>49</v>
      </c>
    </row>
    <row r="21" ht="15.75" customHeight="1">
      <c r="A21" s="6">
        <v>46104.0</v>
      </c>
      <c r="B21" s="4" t="s">
        <v>155</v>
      </c>
      <c r="C21" s="4" t="s">
        <v>156</v>
      </c>
      <c r="D21" s="4" t="s">
        <v>37</v>
      </c>
      <c r="E21" s="4" t="s">
        <v>123</v>
      </c>
      <c r="F21" s="4" t="s">
        <v>124</v>
      </c>
      <c r="G21" s="8">
        <v>30515.0</v>
      </c>
      <c r="H21" s="9">
        <v>0.21</v>
      </c>
      <c r="I21" s="8">
        <f t="shared" si="1"/>
        <v>6408.15</v>
      </c>
      <c r="J21" s="8">
        <f t="shared" si="2"/>
        <v>36923.15</v>
      </c>
      <c r="K21" s="4" t="s">
        <v>47</v>
      </c>
    </row>
    <row r="22" ht="15.75" customHeight="1">
      <c r="A22" s="6">
        <v>46107.0</v>
      </c>
      <c r="B22" s="4" t="s">
        <v>160</v>
      </c>
      <c r="C22" s="4" t="s">
        <v>161</v>
      </c>
      <c r="D22" s="4" t="s">
        <v>37</v>
      </c>
      <c r="E22" s="4" t="s">
        <v>162</v>
      </c>
      <c r="F22" s="4" t="s">
        <v>163</v>
      </c>
      <c r="G22" s="8">
        <v>17150.0</v>
      </c>
      <c r="H22" s="9">
        <v>0.21</v>
      </c>
      <c r="I22" s="8">
        <f t="shared" si="1"/>
        <v>3601.5</v>
      </c>
      <c r="J22" s="8">
        <f t="shared" si="2"/>
        <v>20751.5</v>
      </c>
      <c r="K22" s="4" t="s">
        <v>43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2" width="16.0"/>
    <col customWidth="1" min="3" max="3" width="11.25"/>
    <col customWidth="1" min="4" max="6" width="27.0"/>
    <col customWidth="1" min="7" max="7" width="6.75"/>
    <col customWidth="1" min="8" max="8" width="9.88"/>
    <col customWidth="1" min="9" max="9" width="9.0"/>
    <col customWidth="1" min="10" max="10" width="8.5"/>
    <col customWidth="1" min="11" max="11" width="9.38"/>
    <col customWidth="1" min="12" max="12" width="19.0"/>
    <col customWidth="1" min="13" max="26" width="8.63"/>
  </cols>
  <sheetData>
    <row r="1" ht="30.0" customHeight="1">
      <c r="A1" s="1" t="s">
        <v>225</v>
      </c>
    </row>
    <row r="2">
      <c r="A2" s="2" t="s">
        <v>4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31.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15</v>
      </c>
      <c r="K4" s="5" t="s">
        <v>16</v>
      </c>
      <c r="L4" s="5" t="s">
        <v>17</v>
      </c>
    </row>
    <row r="5">
      <c r="A5" s="6">
        <v>46113.0</v>
      </c>
      <c r="B5" s="4" t="s">
        <v>18</v>
      </c>
      <c r="C5" s="4" t="s">
        <v>227</v>
      </c>
      <c r="D5" s="4" t="s">
        <v>45</v>
      </c>
      <c r="E5" s="4" t="s">
        <v>228</v>
      </c>
      <c r="F5" s="4" t="s">
        <v>46</v>
      </c>
      <c r="G5" s="7">
        <v>1.0</v>
      </c>
      <c r="H5" s="8">
        <v>130600.0</v>
      </c>
      <c r="I5" s="9">
        <v>0.21</v>
      </c>
      <c r="J5" s="8">
        <f t="shared" ref="J5:J58" si="1">ROUND(H5*I5,2)</f>
        <v>27426</v>
      </c>
      <c r="K5" s="8">
        <f t="shared" ref="K5:K58" si="2">ROUND(H5+J5,2)</f>
        <v>158026</v>
      </c>
      <c r="L5" s="4" t="s">
        <v>47</v>
      </c>
    </row>
    <row r="6">
      <c r="A6" s="6">
        <v>46114.0</v>
      </c>
      <c r="B6" s="4" t="s">
        <v>37</v>
      </c>
      <c r="C6" s="4" t="s">
        <v>233</v>
      </c>
      <c r="D6" s="4" t="s">
        <v>20</v>
      </c>
      <c r="E6" s="4"/>
      <c r="F6" s="4" t="s">
        <v>25</v>
      </c>
      <c r="G6" s="7">
        <v>2.0</v>
      </c>
      <c r="H6" s="8">
        <v>53545.0</v>
      </c>
      <c r="I6" s="9">
        <v>0.21</v>
      </c>
      <c r="J6" s="8">
        <f t="shared" si="1"/>
        <v>11244.45</v>
      </c>
      <c r="K6" s="8">
        <f t="shared" si="2"/>
        <v>64789.45</v>
      </c>
      <c r="L6" s="4" t="s">
        <v>36</v>
      </c>
    </row>
    <row r="7">
      <c r="A7" s="6">
        <v>46115.0</v>
      </c>
      <c r="B7" s="4" t="s">
        <v>37</v>
      </c>
      <c r="C7" s="4" t="s">
        <v>235</v>
      </c>
      <c r="D7" s="4" t="s">
        <v>56</v>
      </c>
      <c r="E7" s="4"/>
      <c r="F7" s="4" t="s">
        <v>22</v>
      </c>
      <c r="G7" s="7">
        <v>3.0</v>
      </c>
      <c r="H7" s="8">
        <v>66491.0</v>
      </c>
      <c r="I7" s="9">
        <v>0.21</v>
      </c>
      <c r="J7" s="8">
        <f t="shared" si="1"/>
        <v>13963.11</v>
      </c>
      <c r="K7" s="8">
        <f t="shared" si="2"/>
        <v>80454.11</v>
      </c>
      <c r="L7" s="4" t="s">
        <v>43</v>
      </c>
    </row>
    <row r="8">
      <c r="A8" s="6">
        <v>46116.0</v>
      </c>
      <c r="B8" s="4" t="s">
        <v>37</v>
      </c>
      <c r="C8" s="4" t="s">
        <v>237</v>
      </c>
      <c r="D8" s="4" t="s">
        <v>20</v>
      </c>
      <c r="E8" s="4"/>
      <c r="F8" s="4" t="s">
        <v>39</v>
      </c>
      <c r="G8" s="7">
        <v>4.0</v>
      </c>
      <c r="H8" s="8">
        <v>79437.0</v>
      </c>
      <c r="I8" s="9">
        <v>0.21</v>
      </c>
      <c r="J8" s="8">
        <f t="shared" si="1"/>
        <v>16681.77</v>
      </c>
      <c r="K8" s="8">
        <f t="shared" si="2"/>
        <v>96118.77</v>
      </c>
      <c r="L8" s="4" t="s">
        <v>49</v>
      </c>
    </row>
    <row r="9">
      <c r="A9" s="6">
        <v>46117.0</v>
      </c>
      <c r="B9" s="4" t="s">
        <v>37</v>
      </c>
      <c r="C9" s="4" t="s">
        <v>239</v>
      </c>
      <c r="D9" s="4" t="s">
        <v>42</v>
      </c>
      <c r="E9" s="4"/>
      <c r="F9" s="4" t="s">
        <v>46</v>
      </c>
      <c r="G9" s="7">
        <v>5.0</v>
      </c>
      <c r="H9" s="8">
        <v>92383.0</v>
      </c>
      <c r="I9" s="9">
        <v>0.21</v>
      </c>
      <c r="J9" s="8">
        <f t="shared" si="1"/>
        <v>19400.43</v>
      </c>
      <c r="K9" s="8">
        <f t="shared" si="2"/>
        <v>111783.43</v>
      </c>
      <c r="L9" s="4" t="s">
        <v>40</v>
      </c>
    </row>
    <row r="10">
      <c r="A10" s="6">
        <v>46118.0</v>
      </c>
      <c r="B10" s="4" t="s">
        <v>37</v>
      </c>
      <c r="C10" s="4" t="s">
        <v>241</v>
      </c>
      <c r="D10" s="4" t="s">
        <v>20</v>
      </c>
      <c r="E10" s="4"/>
      <c r="F10" s="4" t="s">
        <v>25</v>
      </c>
      <c r="G10" s="7">
        <v>6.0</v>
      </c>
      <c r="H10" s="8">
        <v>105329.0</v>
      </c>
      <c r="I10" s="9">
        <v>0.21</v>
      </c>
      <c r="J10" s="8">
        <f t="shared" si="1"/>
        <v>22119.09</v>
      </c>
      <c r="K10" s="8">
        <f t="shared" si="2"/>
        <v>127448.09</v>
      </c>
      <c r="L10" s="4" t="s">
        <v>47</v>
      </c>
    </row>
    <row r="11">
      <c r="A11" s="6">
        <v>46119.0</v>
      </c>
      <c r="B11" s="4" t="s">
        <v>37</v>
      </c>
      <c r="C11" s="4" t="s">
        <v>245</v>
      </c>
      <c r="D11" s="4" t="s">
        <v>54</v>
      </c>
      <c r="E11" s="4"/>
      <c r="F11" s="4" t="s">
        <v>22</v>
      </c>
      <c r="G11" s="7">
        <v>1.0</v>
      </c>
      <c r="H11" s="8">
        <v>118275.0</v>
      </c>
      <c r="I11" s="9">
        <v>0.21</v>
      </c>
      <c r="J11" s="8">
        <f t="shared" si="1"/>
        <v>24837.75</v>
      </c>
      <c r="K11" s="8">
        <f t="shared" si="2"/>
        <v>143112.75</v>
      </c>
      <c r="L11" s="4" t="s">
        <v>36</v>
      </c>
    </row>
    <row r="12">
      <c r="A12" s="6">
        <v>46120.0</v>
      </c>
      <c r="B12" s="4" t="s">
        <v>37</v>
      </c>
      <c r="C12" s="4" t="s">
        <v>247</v>
      </c>
      <c r="D12" s="4" t="s">
        <v>58</v>
      </c>
      <c r="E12" s="4"/>
      <c r="F12" s="4" t="s">
        <v>39</v>
      </c>
      <c r="G12" s="7">
        <v>2.0</v>
      </c>
      <c r="H12" s="8">
        <v>131221.0</v>
      </c>
      <c r="I12" s="9">
        <v>0.21</v>
      </c>
      <c r="J12" s="8">
        <f t="shared" si="1"/>
        <v>27556.41</v>
      </c>
      <c r="K12" s="8">
        <f t="shared" si="2"/>
        <v>158777.41</v>
      </c>
      <c r="L12" s="4" t="s">
        <v>43</v>
      </c>
    </row>
    <row r="13">
      <c r="A13" s="6">
        <v>46121.0</v>
      </c>
      <c r="B13" s="4" t="s">
        <v>37</v>
      </c>
      <c r="C13" s="4" t="s">
        <v>249</v>
      </c>
      <c r="D13" s="4" t="s">
        <v>20</v>
      </c>
      <c r="E13" s="4"/>
      <c r="F13" s="4" t="s">
        <v>46</v>
      </c>
      <c r="G13" s="7">
        <v>3.0</v>
      </c>
      <c r="H13" s="8">
        <v>54166.0</v>
      </c>
      <c r="I13" s="9">
        <v>0.21</v>
      </c>
      <c r="J13" s="8">
        <f t="shared" si="1"/>
        <v>11374.86</v>
      </c>
      <c r="K13" s="8">
        <f t="shared" si="2"/>
        <v>65540.86</v>
      </c>
      <c r="L13" s="4" t="s">
        <v>49</v>
      </c>
    </row>
    <row r="14">
      <c r="A14" s="6">
        <v>46122.0</v>
      </c>
      <c r="B14" s="4" t="s">
        <v>37</v>
      </c>
      <c r="C14" s="4" t="s">
        <v>251</v>
      </c>
      <c r="D14" s="4" t="s">
        <v>20</v>
      </c>
      <c r="E14" s="4"/>
      <c r="F14" s="4" t="s">
        <v>25</v>
      </c>
      <c r="G14" s="7">
        <v>4.0</v>
      </c>
      <c r="H14" s="8">
        <v>67112.0</v>
      </c>
      <c r="I14" s="9">
        <v>0.21</v>
      </c>
      <c r="J14" s="8">
        <f t="shared" si="1"/>
        <v>14093.52</v>
      </c>
      <c r="K14" s="8">
        <f t="shared" si="2"/>
        <v>81205.52</v>
      </c>
      <c r="L14" s="4" t="s">
        <v>40</v>
      </c>
    </row>
    <row r="15">
      <c r="A15" s="6">
        <v>46123.0</v>
      </c>
      <c r="B15" s="4" t="s">
        <v>18</v>
      </c>
      <c r="C15" s="4" t="s">
        <v>253</v>
      </c>
      <c r="D15" s="4" t="s">
        <v>20</v>
      </c>
      <c r="E15" s="4" t="s">
        <v>254</v>
      </c>
      <c r="F15" s="4" t="s">
        <v>22</v>
      </c>
      <c r="G15" s="7">
        <v>5.0</v>
      </c>
      <c r="H15" s="8">
        <v>80058.0</v>
      </c>
      <c r="I15" s="9">
        <v>0.21</v>
      </c>
      <c r="J15" s="8">
        <f t="shared" si="1"/>
        <v>16812.18</v>
      </c>
      <c r="K15" s="8">
        <f t="shared" si="2"/>
        <v>96870.18</v>
      </c>
      <c r="L15" s="4" t="s">
        <v>47</v>
      </c>
    </row>
    <row r="16">
      <c r="A16" s="6">
        <v>46124.0</v>
      </c>
      <c r="B16" s="4" t="s">
        <v>37</v>
      </c>
      <c r="C16" s="4" t="s">
        <v>255</v>
      </c>
      <c r="D16" s="4" t="s">
        <v>20</v>
      </c>
      <c r="E16" s="4"/>
      <c r="F16" s="4" t="s">
        <v>39</v>
      </c>
      <c r="G16" s="7">
        <v>6.0</v>
      </c>
      <c r="H16" s="8">
        <v>93004.0</v>
      </c>
      <c r="I16" s="9">
        <v>0.21</v>
      </c>
      <c r="J16" s="8">
        <f t="shared" si="1"/>
        <v>19530.84</v>
      </c>
      <c r="K16" s="8">
        <f t="shared" si="2"/>
        <v>112534.84</v>
      </c>
      <c r="L16" s="4" t="s">
        <v>36</v>
      </c>
    </row>
    <row r="17">
      <c r="A17" s="6">
        <v>46125.0</v>
      </c>
      <c r="B17" s="4" t="s">
        <v>37</v>
      </c>
      <c r="C17" s="4" t="s">
        <v>259</v>
      </c>
      <c r="D17" s="4" t="s">
        <v>45</v>
      </c>
      <c r="E17" s="4"/>
      <c r="F17" s="4" t="s">
        <v>46</v>
      </c>
      <c r="G17" s="7">
        <v>1.0</v>
      </c>
      <c r="H17" s="8">
        <v>105950.0</v>
      </c>
      <c r="I17" s="9">
        <v>0.21</v>
      </c>
      <c r="J17" s="8">
        <f t="shared" si="1"/>
        <v>22249.5</v>
      </c>
      <c r="K17" s="8">
        <f t="shared" si="2"/>
        <v>128199.5</v>
      </c>
      <c r="L17" s="4" t="s">
        <v>43</v>
      </c>
    </row>
    <row r="18">
      <c r="A18" s="6">
        <v>46126.0</v>
      </c>
      <c r="B18" s="4" t="s">
        <v>37</v>
      </c>
      <c r="C18" s="4" t="s">
        <v>261</v>
      </c>
      <c r="D18" s="4" t="s">
        <v>20</v>
      </c>
      <c r="E18" s="4"/>
      <c r="F18" s="4" t="s">
        <v>25</v>
      </c>
      <c r="G18" s="7">
        <v>2.0</v>
      </c>
      <c r="H18" s="8">
        <v>118896.0</v>
      </c>
      <c r="I18" s="9">
        <v>0.21</v>
      </c>
      <c r="J18" s="8">
        <f t="shared" si="1"/>
        <v>24968.16</v>
      </c>
      <c r="K18" s="8">
        <f t="shared" si="2"/>
        <v>143864.16</v>
      </c>
      <c r="L18" s="4" t="s">
        <v>49</v>
      </c>
    </row>
    <row r="19">
      <c r="A19" s="6">
        <v>46127.0</v>
      </c>
      <c r="B19" s="4" t="s">
        <v>37</v>
      </c>
      <c r="C19" s="4" t="s">
        <v>262</v>
      </c>
      <c r="D19" s="4" t="s">
        <v>56</v>
      </c>
      <c r="E19" s="4"/>
      <c r="F19" s="4" t="s">
        <v>22</v>
      </c>
      <c r="G19" s="7">
        <v>3.0</v>
      </c>
      <c r="H19" s="8">
        <v>131842.0</v>
      </c>
      <c r="I19" s="9">
        <v>0.21</v>
      </c>
      <c r="J19" s="8">
        <f t="shared" si="1"/>
        <v>27686.82</v>
      </c>
      <c r="K19" s="8">
        <f t="shared" si="2"/>
        <v>159528.82</v>
      </c>
      <c r="L19" s="4" t="s">
        <v>40</v>
      </c>
    </row>
    <row r="20">
      <c r="A20" s="6">
        <v>46128.0</v>
      </c>
      <c r="B20" s="4" t="s">
        <v>37</v>
      </c>
      <c r="C20" s="4" t="s">
        <v>263</v>
      </c>
      <c r="D20" s="4" t="s">
        <v>20</v>
      </c>
      <c r="E20" s="4"/>
      <c r="F20" s="4" t="s">
        <v>39</v>
      </c>
      <c r="G20" s="7">
        <v>4.0</v>
      </c>
      <c r="H20" s="8">
        <v>54787.0</v>
      </c>
      <c r="I20" s="9">
        <v>0.21</v>
      </c>
      <c r="J20" s="8">
        <f t="shared" si="1"/>
        <v>11505.27</v>
      </c>
      <c r="K20" s="8">
        <f t="shared" si="2"/>
        <v>66292.27</v>
      </c>
      <c r="L20" s="4" t="s">
        <v>47</v>
      </c>
    </row>
    <row r="21" ht="15.75" customHeight="1">
      <c r="A21" s="6">
        <v>46129.0</v>
      </c>
      <c r="B21" s="4" t="s">
        <v>37</v>
      </c>
      <c r="C21" s="4" t="s">
        <v>264</v>
      </c>
      <c r="D21" s="4" t="s">
        <v>42</v>
      </c>
      <c r="E21" s="4"/>
      <c r="F21" s="4" t="s">
        <v>46</v>
      </c>
      <c r="G21" s="7">
        <v>5.0</v>
      </c>
      <c r="H21" s="8">
        <v>67733.0</v>
      </c>
      <c r="I21" s="9">
        <v>0.21</v>
      </c>
      <c r="J21" s="8">
        <f t="shared" si="1"/>
        <v>14223.93</v>
      </c>
      <c r="K21" s="8">
        <f t="shared" si="2"/>
        <v>81956.93</v>
      </c>
      <c r="L21" s="4" t="s">
        <v>36</v>
      </c>
    </row>
    <row r="22" ht="15.75" customHeight="1">
      <c r="A22" s="6">
        <v>46130.0</v>
      </c>
      <c r="B22" s="4" t="s">
        <v>37</v>
      </c>
      <c r="C22" s="4" t="s">
        <v>267</v>
      </c>
      <c r="D22" s="4" t="s">
        <v>20</v>
      </c>
      <c r="E22" s="4"/>
      <c r="F22" s="4" t="s">
        <v>25</v>
      </c>
      <c r="G22" s="7">
        <v>6.0</v>
      </c>
      <c r="H22" s="8">
        <v>80679.0</v>
      </c>
      <c r="I22" s="9">
        <v>0.21</v>
      </c>
      <c r="J22" s="8">
        <f t="shared" si="1"/>
        <v>16942.59</v>
      </c>
      <c r="K22" s="8">
        <f t="shared" si="2"/>
        <v>97621.59</v>
      </c>
      <c r="L22" s="4" t="s">
        <v>43</v>
      </c>
    </row>
    <row r="23" ht="15.75" customHeight="1">
      <c r="A23" s="6">
        <v>46131.0</v>
      </c>
      <c r="B23" s="4" t="s">
        <v>37</v>
      </c>
      <c r="C23" s="4" t="s">
        <v>268</v>
      </c>
      <c r="D23" s="4" t="s">
        <v>54</v>
      </c>
      <c r="E23" s="4"/>
      <c r="F23" s="4" t="s">
        <v>22</v>
      </c>
      <c r="G23" s="7">
        <v>1.0</v>
      </c>
      <c r="H23" s="8">
        <v>93625.0</v>
      </c>
      <c r="I23" s="9">
        <v>0.21</v>
      </c>
      <c r="J23" s="8">
        <f t="shared" si="1"/>
        <v>19661.25</v>
      </c>
      <c r="K23" s="8">
        <f t="shared" si="2"/>
        <v>113286.25</v>
      </c>
      <c r="L23" s="4" t="s">
        <v>49</v>
      </c>
    </row>
    <row r="24" ht="15.75" customHeight="1">
      <c r="A24" s="6">
        <v>46132.0</v>
      </c>
      <c r="B24" s="4" t="s">
        <v>37</v>
      </c>
      <c r="C24" s="4" t="s">
        <v>270</v>
      </c>
      <c r="D24" s="4" t="s">
        <v>58</v>
      </c>
      <c r="E24" s="4"/>
      <c r="F24" s="4" t="s">
        <v>39</v>
      </c>
      <c r="G24" s="7">
        <v>2.0</v>
      </c>
      <c r="H24" s="8">
        <v>106571.0</v>
      </c>
      <c r="I24" s="9">
        <v>0.21</v>
      </c>
      <c r="J24" s="8">
        <f t="shared" si="1"/>
        <v>22379.91</v>
      </c>
      <c r="K24" s="8">
        <f t="shared" si="2"/>
        <v>128950.91</v>
      </c>
      <c r="L24" s="4" t="s">
        <v>40</v>
      </c>
    </row>
    <row r="25" ht="15.75" customHeight="1">
      <c r="A25" s="6">
        <v>46133.0</v>
      </c>
      <c r="B25" s="4" t="s">
        <v>18</v>
      </c>
      <c r="C25" s="4" t="s">
        <v>271</v>
      </c>
      <c r="D25" s="4" t="s">
        <v>20</v>
      </c>
      <c r="E25" s="4" t="s">
        <v>272</v>
      </c>
      <c r="F25" s="4" t="s">
        <v>46</v>
      </c>
      <c r="G25" s="7">
        <v>3.0</v>
      </c>
      <c r="H25" s="8">
        <v>119517.0</v>
      </c>
      <c r="I25" s="9">
        <v>0.21</v>
      </c>
      <c r="J25" s="8">
        <f t="shared" si="1"/>
        <v>25098.57</v>
      </c>
      <c r="K25" s="8">
        <f t="shared" si="2"/>
        <v>144615.57</v>
      </c>
      <c r="L25" s="4" t="s">
        <v>47</v>
      </c>
    </row>
    <row r="26" ht="15.75" customHeight="1">
      <c r="A26" s="6">
        <v>46134.0</v>
      </c>
      <c r="B26" s="4" t="s">
        <v>37</v>
      </c>
      <c r="C26" s="4" t="s">
        <v>274</v>
      </c>
      <c r="D26" s="4" t="s">
        <v>20</v>
      </c>
      <c r="E26" s="4"/>
      <c r="F26" s="4" t="s">
        <v>25</v>
      </c>
      <c r="G26" s="7">
        <v>4.0</v>
      </c>
      <c r="H26" s="8">
        <v>42462.0</v>
      </c>
      <c r="I26" s="9">
        <v>0.21</v>
      </c>
      <c r="J26" s="8">
        <f t="shared" si="1"/>
        <v>8917.02</v>
      </c>
      <c r="K26" s="8">
        <f t="shared" si="2"/>
        <v>51379.02</v>
      </c>
      <c r="L26" s="4" t="s">
        <v>36</v>
      </c>
    </row>
    <row r="27" ht="15.75" customHeight="1">
      <c r="A27" s="6">
        <v>46135.0</v>
      </c>
      <c r="B27" s="4" t="s">
        <v>37</v>
      </c>
      <c r="C27" s="4" t="s">
        <v>276</v>
      </c>
      <c r="D27" s="4" t="s">
        <v>20</v>
      </c>
      <c r="E27" s="4"/>
      <c r="F27" s="4" t="s">
        <v>22</v>
      </c>
      <c r="G27" s="7">
        <v>5.0</v>
      </c>
      <c r="H27" s="8">
        <v>55408.0</v>
      </c>
      <c r="I27" s="9">
        <v>0.21</v>
      </c>
      <c r="J27" s="8">
        <f t="shared" si="1"/>
        <v>11635.68</v>
      </c>
      <c r="K27" s="8">
        <f t="shared" si="2"/>
        <v>67043.68</v>
      </c>
      <c r="L27" s="4" t="s">
        <v>43</v>
      </c>
    </row>
    <row r="28" ht="15.75" customHeight="1">
      <c r="A28" s="6">
        <v>46136.0</v>
      </c>
      <c r="B28" s="4" t="s">
        <v>37</v>
      </c>
      <c r="C28" s="4" t="s">
        <v>277</v>
      </c>
      <c r="D28" s="4" t="s">
        <v>20</v>
      </c>
      <c r="E28" s="4"/>
      <c r="F28" s="4" t="s">
        <v>39</v>
      </c>
      <c r="G28" s="7">
        <v>6.0</v>
      </c>
      <c r="H28" s="8">
        <v>68354.0</v>
      </c>
      <c r="I28" s="9">
        <v>0.21</v>
      </c>
      <c r="J28" s="8">
        <f t="shared" si="1"/>
        <v>14354.34</v>
      </c>
      <c r="K28" s="8">
        <f t="shared" si="2"/>
        <v>82708.34</v>
      </c>
      <c r="L28" s="4" t="s">
        <v>49</v>
      </c>
    </row>
    <row r="29" ht="15.75" customHeight="1">
      <c r="A29" s="6">
        <v>46137.0</v>
      </c>
      <c r="B29" s="4" t="s">
        <v>37</v>
      </c>
      <c r="C29" s="4" t="s">
        <v>279</v>
      </c>
      <c r="D29" s="4" t="s">
        <v>45</v>
      </c>
      <c r="E29" s="4"/>
      <c r="F29" s="4" t="s">
        <v>46</v>
      </c>
      <c r="G29" s="7">
        <v>1.0</v>
      </c>
      <c r="H29" s="8">
        <v>81300.0</v>
      </c>
      <c r="I29" s="9">
        <v>0.21</v>
      </c>
      <c r="J29" s="8">
        <f t="shared" si="1"/>
        <v>17073</v>
      </c>
      <c r="K29" s="8">
        <f t="shared" si="2"/>
        <v>98373</v>
      </c>
      <c r="L29" s="4" t="s">
        <v>40</v>
      </c>
    </row>
    <row r="30" ht="15.75" customHeight="1">
      <c r="A30" s="6">
        <v>46138.0</v>
      </c>
      <c r="B30" s="4" t="s">
        <v>37</v>
      </c>
      <c r="C30" s="4" t="s">
        <v>281</v>
      </c>
      <c r="D30" s="4" t="s">
        <v>20</v>
      </c>
      <c r="E30" s="4"/>
      <c r="F30" s="4" t="s">
        <v>25</v>
      </c>
      <c r="G30" s="7">
        <v>2.0</v>
      </c>
      <c r="H30" s="8">
        <v>94246.0</v>
      </c>
      <c r="I30" s="9">
        <v>0.21</v>
      </c>
      <c r="J30" s="8">
        <f t="shared" si="1"/>
        <v>19791.66</v>
      </c>
      <c r="K30" s="8">
        <f t="shared" si="2"/>
        <v>114037.66</v>
      </c>
      <c r="L30" s="4" t="s">
        <v>47</v>
      </c>
    </row>
    <row r="31" ht="15.75" customHeight="1">
      <c r="A31" s="6">
        <v>46139.0</v>
      </c>
      <c r="B31" s="4" t="s">
        <v>37</v>
      </c>
      <c r="C31" s="4" t="s">
        <v>283</v>
      </c>
      <c r="D31" s="4" t="s">
        <v>56</v>
      </c>
      <c r="E31" s="4"/>
      <c r="F31" s="4" t="s">
        <v>22</v>
      </c>
      <c r="G31" s="7">
        <v>3.0</v>
      </c>
      <c r="H31" s="8">
        <v>107192.0</v>
      </c>
      <c r="I31" s="9">
        <v>0.21</v>
      </c>
      <c r="J31" s="8">
        <f t="shared" si="1"/>
        <v>22510.32</v>
      </c>
      <c r="K31" s="8">
        <f t="shared" si="2"/>
        <v>129702.32</v>
      </c>
      <c r="L31" s="4" t="s">
        <v>36</v>
      </c>
    </row>
    <row r="32" ht="15.75" customHeight="1">
      <c r="A32" s="6">
        <v>46140.0</v>
      </c>
      <c r="B32" s="4" t="s">
        <v>37</v>
      </c>
      <c r="C32" s="4" t="s">
        <v>287</v>
      </c>
      <c r="D32" s="4" t="s">
        <v>20</v>
      </c>
      <c r="E32" s="4"/>
      <c r="F32" s="4" t="s">
        <v>39</v>
      </c>
      <c r="G32" s="7">
        <v>4.0</v>
      </c>
      <c r="H32" s="8">
        <v>120138.0</v>
      </c>
      <c r="I32" s="9">
        <v>0.21</v>
      </c>
      <c r="J32" s="8">
        <f t="shared" si="1"/>
        <v>25228.98</v>
      </c>
      <c r="K32" s="8">
        <f t="shared" si="2"/>
        <v>145366.98</v>
      </c>
      <c r="L32" s="4" t="s">
        <v>43</v>
      </c>
    </row>
    <row r="33" ht="15.75" customHeight="1">
      <c r="A33" s="6">
        <v>46113.0</v>
      </c>
      <c r="B33" s="4" t="s">
        <v>37</v>
      </c>
      <c r="C33" s="4" t="s">
        <v>289</v>
      </c>
      <c r="D33" s="4" t="s">
        <v>42</v>
      </c>
      <c r="E33" s="4"/>
      <c r="F33" s="4" t="s">
        <v>46</v>
      </c>
      <c r="G33" s="7">
        <v>5.0</v>
      </c>
      <c r="H33" s="8">
        <v>43083.0</v>
      </c>
      <c r="I33" s="9">
        <v>0.21</v>
      </c>
      <c r="J33" s="8">
        <f t="shared" si="1"/>
        <v>9047.43</v>
      </c>
      <c r="K33" s="8">
        <f t="shared" si="2"/>
        <v>52130.43</v>
      </c>
      <c r="L33" s="4" t="s">
        <v>49</v>
      </c>
    </row>
    <row r="34" ht="15.75" customHeight="1">
      <c r="A34" s="6">
        <v>46114.0</v>
      </c>
      <c r="B34" s="4" t="s">
        <v>37</v>
      </c>
      <c r="C34" s="4" t="s">
        <v>292</v>
      </c>
      <c r="D34" s="4" t="s">
        <v>20</v>
      </c>
      <c r="E34" s="4"/>
      <c r="F34" s="4" t="s">
        <v>25</v>
      </c>
      <c r="G34" s="7">
        <v>6.0</v>
      </c>
      <c r="H34" s="8">
        <v>56029.0</v>
      </c>
      <c r="I34" s="9">
        <v>0.21</v>
      </c>
      <c r="J34" s="8">
        <f t="shared" si="1"/>
        <v>11766.09</v>
      </c>
      <c r="K34" s="8">
        <f t="shared" si="2"/>
        <v>67795.09</v>
      </c>
      <c r="L34" s="4" t="s">
        <v>40</v>
      </c>
    </row>
    <row r="35" ht="15.75" customHeight="1">
      <c r="A35" s="6">
        <v>46115.0</v>
      </c>
      <c r="B35" s="4" t="s">
        <v>18</v>
      </c>
      <c r="C35" s="4" t="s">
        <v>294</v>
      </c>
      <c r="D35" s="4" t="s">
        <v>54</v>
      </c>
      <c r="E35" s="4" t="s">
        <v>296</v>
      </c>
      <c r="F35" s="4" t="s">
        <v>22</v>
      </c>
      <c r="G35" s="7">
        <v>1.0</v>
      </c>
      <c r="H35" s="8">
        <v>68975.0</v>
      </c>
      <c r="I35" s="9">
        <v>0.21</v>
      </c>
      <c r="J35" s="8">
        <f t="shared" si="1"/>
        <v>14484.75</v>
      </c>
      <c r="K35" s="8">
        <f t="shared" si="2"/>
        <v>83459.75</v>
      </c>
      <c r="L35" s="4" t="s">
        <v>47</v>
      </c>
    </row>
    <row r="36" ht="15.75" customHeight="1">
      <c r="A36" s="6">
        <v>46116.0</v>
      </c>
      <c r="B36" s="4" t="s">
        <v>37</v>
      </c>
      <c r="C36" s="4" t="s">
        <v>298</v>
      </c>
      <c r="D36" s="4" t="s">
        <v>58</v>
      </c>
      <c r="E36" s="4"/>
      <c r="F36" s="4" t="s">
        <v>39</v>
      </c>
      <c r="G36" s="7">
        <v>2.0</v>
      </c>
      <c r="H36" s="8">
        <v>81921.0</v>
      </c>
      <c r="I36" s="9">
        <v>0.21</v>
      </c>
      <c r="J36" s="8">
        <f t="shared" si="1"/>
        <v>17203.41</v>
      </c>
      <c r="K36" s="8">
        <f t="shared" si="2"/>
        <v>99124.41</v>
      </c>
      <c r="L36" s="4" t="s">
        <v>36</v>
      </c>
    </row>
    <row r="37" ht="15.75" customHeight="1">
      <c r="A37" s="6">
        <v>46117.0</v>
      </c>
      <c r="B37" s="4" t="s">
        <v>37</v>
      </c>
      <c r="C37" s="4" t="s">
        <v>300</v>
      </c>
      <c r="D37" s="4" t="s">
        <v>20</v>
      </c>
      <c r="E37" s="4"/>
      <c r="F37" s="4" t="s">
        <v>46</v>
      </c>
      <c r="G37" s="7">
        <v>3.0</v>
      </c>
      <c r="H37" s="8">
        <v>94867.0</v>
      </c>
      <c r="I37" s="9">
        <v>0.21</v>
      </c>
      <c r="J37" s="8">
        <f t="shared" si="1"/>
        <v>19922.07</v>
      </c>
      <c r="K37" s="8">
        <f t="shared" si="2"/>
        <v>114789.07</v>
      </c>
      <c r="L37" s="4" t="s">
        <v>43</v>
      </c>
    </row>
    <row r="38" ht="15.75" customHeight="1">
      <c r="A38" s="6">
        <v>46118.0</v>
      </c>
      <c r="B38" s="4" t="s">
        <v>37</v>
      </c>
      <c r="C38" s="4" t="s">
        <v>303</v>
      </c>
      <c r="D38" s="4" t="s">
        <v>20</v>
      </c>
      <c r="E38" s="4"/>
      <c r="F38" s="4" t="s">
        <v>25</v>
      </c>
      <c r="G38" s="7">
        <v>4.0</v>
      </c>
      <c r="H38" s="8">
        <v>107813.0</v>
      </c>
      <c r="I38" s="9">
        <v>0.21</v>
      </c>
      <c r="J38" s="8">
        <f t="shared" si="1"/>
        <v>22640.73</v>
      </c>
      <c r="K38" s="8">
        <f t="shared" si="2"/>
        <v>130453.73</v>
      </c>
      <c r="L38" s="4" t="s">
        <v>49</v>
      </c>
    </row>
    <row r="39" ht="15.75" customHeight="1">
      <c r="A39" s="6">
        <v>46119.0</v>
      </c>
      <c r="B39" s="4" t="s">
        <v>37</v>
      </c>
      <c r="C39" s="4" t="s">
        <v>306</v>
      </c>
      <c r="D39" s="4" t="s">
        <v>20</v>
      </c>
      <c r="E39" s="4"/>
      <c r="F39" s="4" t="s">
        <v>22</v>
      </c>
      <c r="G39" s="7">
        <v>5.0</v>
      </c>
      <c r="H39" s="8">
        <v>120759.0</v>
      </c>
      <c r="I39" s="9">
        <v>0.21</v>
      </c>
      <c r="J39" s="8">
        <f t="shared" si="1"/>
        <v>25359.39</v>
      </c>
      <c r="K39" s="8">
        <f t="shared" si="2"/>
        <v>146118.39</v>
      </c>
      <c r="L39" s="4" t="s">
        <v>40</v>
      </c>
    </row>
    <row r="40" ht="15.75" customHeight="1">
      <c r="A40" s="6">
        <v>46120.0</v>
      </c>
      <c r="B40" s="4" t="s">
        <v>37</v>
      </c>
      <c r="C40" s="4" t="s">
        <v>308</v>
      </c>
      <c r="D40" s="4" t="s">
        <v>20</v>
      </c>
      <c r="E40" s="4"/>
      <c r="F40" s="4" t="s">
        <v>39</v>
      </c>
      <c r="G40" s="7">
        <v>6.0</v>
      </c>
      <c r="H40" s="8">
        <v>43704.0</v>
      </c>
      <c r="I40" s="9">
        <v>0.21</v>
      </c>
      <c r="J40" s="8">
        <f t="shared" si="1"/>
        <v>9177.84</v>
      </c>
      <c r="K40" s="8">
        <f t="shared" si="2"/>
        <v>52881.84</v>
      </c>
      <c r="L40" s="4" t="s">
        <v>47</v>
      </c>
    </row>
    <row r="41" ht="15.75" customHeight="1">
      <c r="A41" s="6">
        <v>46121.0</v>
      </c>
      <c r="B41" s="4" t="s">
        <v>37</v>
      </c>
      <c r="C41" s="4" t="s">
        <v>311</v>
      </c>
      <c r="D41" s="4" t="s">
        <v>45</v>
      </c>
      <c r="E41" s="4"/>
      <c r="F41" s="4" t="s">
        <v>46</v>
      </c>
      <c r="G41" s="7">
        <v>1.0</v>
      </c>
      <c r="H41" s="8">
        <v>56650.0</v>
      </c>
      <c r="I41" s="9">
        <v>0.21</v>
      </c>
      <c r="J41" s="8">
        <f t="shared" si="1"/>
        <v>11896.5</v>
      </c>
      <c r="K41" s="8">
        <f t="shared" si="2"/>
        <v>68546.5</v>
      </c>
      <c r="L41" s="4" t="s">
        <v>36</v>
      </c>
    </row>
    <row r="42" ht="15.75" customHeight="1">
      <c r="A42" s="6">
        <v>46122.0</v>
      </c>
      <c r="B42" s="4" t="s">
        <v>37</v>
      </c>
      <c r="C42" s="4" t="s">
        <v>312</v>
      </c>
      <c r="D42" s="4" t="s">
        <v>20</v>
      </c>
      <c r="E42" s="4"/>
      <c r="F42" s="4" t="s">
        <v>25</v>
      </c>
      <c r="G42" s="7">
        <v>2.0</v>
      </c>
      <c r="H42" s="8">
        <v>69596.0</v>
      </c>
      <c r="I42" s="9">
        <v>0.21</v>
      </c>
      <c r="J42" s="8">
        <f t="shared" si="1"/>
        <v>14615.16</v>
      </c>
      <c r="K42" s="8">
        <f t="shared" si="2"/>
        <v>84211.16</v>
      </c>
      <c r="L42" s="4" t="s">
        <v>43</v>
      </c>
    </row>
    <row r="43" ht="15.75" customHeight="1">
      <c r="A43" s="6">
        <v>46123.0</v>
      </c>
      <c r="B43" s="4" t="s">
        <v>37</v>
      </c>
      <c r="C43" s="4" t="s">
        <v>314</v>
      </c>
      <c r="D43" s="4" t="s">
        <v>56</v>
      </c>
      <c r="E43" s="4"/>
      <c r="F43" s="4" t="s">
        <v>22</v>
      </c>
      <c r="G43" s="7">
        <v>3.0</v>
      </c>
      <c r="H43" s="8">
        <v>82542.0</v>
      </c>
      <c r="I43" s="9">
        <v>0.21</v>
      </c>
      <c r="J43" s="8">
        <f t="shared" si="1"/>
        <v>17333.82</v>
      </c>
      <c r="K43" s="8">
        <f t="shared" si="2"/>
        <v>99875.82</v>
      </c>
      <c r="L43" s="4" t="s">
        <v>49</v>
      </c>
    </row>
    <row r="44" ht="15.75" customHeight="1">
      <c r="A44" s="6">
        <v>46124.0</v>
      </c>
      <c r="B44" s="4" t="s">
        <v>37</v>
      </c>
      <c r="C44" s="4" t="s">
        <v>316</v>
      </c>
      <c r="D44" s="4" t="s">
        <v>20</v>
      </c>
      <c r="E44" s="4"/>
      <c r="F44" s="4" t="s">
        <v>39</v>
      </c>
      <c r="G44" s="7">
        <v>4.0</v>
      </c>
      <c r="H44" s="8">
        <v>95488.0</v>
      </c>
      <c r="I44" s="9">
        <v>0.21</v>
      </c>
      <c r="J44" s="8">
        <f t="shared" si="1"/>
        <v>20052.48</v>
      </c>
      <c r="K44" s="8">
        <f t="shared" si="2"/>
        <v>115540.48</v>
      </c>
      <c r="L44" s="4" t="s">
        <v>40</v>
      </c>
    </row>
    <row r="45" ht="15.75" customHeight="1">
      <c r="A45" s="6">
        <v>46125.0</v>
      </c>
      <c r="B45" s="4" t="s">
        <v>18</v>
      </c>
      <c r="C45" s="4" t="s">
        <v>317</v>
      </c>
      <c r="D45" s="4" t="s">
        <v>42</v>
      </c>
      <c r="E45" s="4" t="s">
        <v>318</v>
      </c>
      <c r="F45" s="4" t="s">
        <v>46</v>
      </c>
      <c r="G45" s="7">
        <v>5.0</v>
      </c>
      <c r="H45" s="8">
        <v>108434.0</v>
      </c>
      <c r="I45" s="9">
        <v>0.21</v>
      </c>
      <c r="J45" s="8">
        <f t="shared" si="1"/>
        <v>22771.14</v>
      </c>
      <c r="K45" s="8">
        <f t="shared" si="2"/>
        <v>131205.14</v>
      </c>
      <c r="L45" s="4" t="s">
        <v>47</v>
      </c>
    </row>
    <row r="46" ht="15.75" customHeight="1">
      <c r="A46" s="6">
        <v>46126.0</v>
      </c>
      <c r="B46" s="4" t="s">
        <v>37</v>
      </c>
      <c r="C46" s="4" t="s">
        <v>320</v>
      </c>
      <c r="D46" s="4" t="s">
        <v>20</v>
      </c>
      <c r="E46" s="4"/>
      <c r="F46" s="4" t="s">
        <v>25</v>
      </c>
      <c r="G46" s="7">
        <v>6.0</v>
      </c>
      <c r="H46" s="8">
        <v>121380.0</v>
      </c>
      <c r="I46" s="9">
        <v>0.21</v>
      </c>
      <c r="J46" s="8">
        <f t="shared" si="1"/>
        <v>25489.8</v>
      </c>
      <c r="K46" s="8">
        <f t="shared" si="2"/>
        <v>146869.8</v>
      </c>
      <c r="L46" s="4" t="s">
        <v>36</v>
      </c>
    </row>
    <row r="47" ht="15.75" customHeight="1">
      <c r="A47" s="6">
        <v>46127.0</v>
      </c>
      <c r="B47" s="4" t="s">
        <v>37</v>
      </c>
      <c r="C47" s="4" t="s">
        <v>322</v>
      </c>
      <c r="D47" s="4" t="s">
        <v>54</v>
      </c>
      <c r="E47" s="4"/>
      <c r="F47" s="4" t="s">
        <v>22</v>
      </c>
      <c r="G47" s="7">
        <v>1.0</v>
      </c>
      <c r="H47" s="8">
        <v>44325.0</v>
      </c>
      <c r="I47" s="9">
        <v>0.21</v>
      </c>
      <c r="J47" s="8">
        <f t="shared" si="1"/>
        <v>9308.25</v>
      </c>
      <c r="K47" s="8">
        <f t="shared" si="2"/>
        <v>53633.25</v>
      </c>
      <c r="L47" s="4" t="s">
        <v>43</v>
      </c>
    </row>
    <row r="48" ht="15.75" customHeight="1">
      <c r="A48" s="6">
        <v>46128.0</v>
      </c>
      <c r="B48" s="4" t="s">
        <v>37</v>
      </c>
      <c r="C48" s="4" t="s">
        <v>324</v>
      </c>
      <c r="D48" s="4" t="s">
        <v>58</v>
      </c>
      <c r="E48" s="4"/>
      <c r="F48" s="4" t="s">
        <v>39</v>
      </c>
      <c r="G48" s="7">
        <v>2.0</v>
      </c>
      <c r="H48" s="8">
        <v>57271.0</v>
      </c>
      <c r="I48" s="9">
        <v>0.21</v>
      </c>
      <c r="J48" s="8">
        <f t="shared" si="1"/>
        <v>12026.91</v>
      </c>
      <c r="K48" s="8">
        <f t="shared" si="2"/>
        <v>69297.91</v>
      </c>
      <c r="L48" s="4" t="s">
        <v>49</v>
      </c>
    </row>
    <row r="49" ht="15.75" customHeight="1">
      <c r="A49" s="6">
        <v>46129.0</v>
      </c>
      <c r="B49" s="4" t="s">
        <v>37</v>
      </c>
      <c r="C49" s="4" t="s">
        <v>326</v>
      </c>
      <c r="D49" s="4" t="s">
        <v>20</v>
      </c>
      <c r="E49" s="4"/>
      <c r="F49" s="4" t="s">
        <v>46</v>
      </c>
      <c r="G49" s="7">
        <v>3.0</v>
      </c>
      <c r="H49" s="8">
        <v>70217.0</v>
      </c>
      <c r="I49" s="9">
        <v>0.21</v>
      </c>
      <c r="J49" s="8">
        <f t="shared" si="1"/>
        <v>14745.57</v>
      </c>
      <c r="K49" s="8">
        <f t="shared" si="2"/>
        <v>84962.57</v>
      </c>
      <c r="L49" s="4" t="s">
        <v>40</v>
      </c>
    </row>
    <row r="50" ht="15.75" customHeight="1">
      <c r="A50" s="6">
        <v>46130.0</v>
      </c>
      <c r="B50" s="4" t="s">
        <v>37</v>
      </c>
      <c r="C50" s="4" t="s">
        <v>328</v>
      </c>
      <c r="D50" s="4" t="s">
        <v>20</v>
      </c>
      <c r="E50" s="4"/>
      <c r="F50" s="4" t="s">
        <v>25</v>
      </c>
      <c r="G50" s="7">
        <v>4.0</v>
      </c>
      <c r="H50" s="8">
        <v>83163.0</v>
      </c>
      <c r="I50" s="9">
        <v>0.21</v>
      </c>
      <c r="J50" s="8">
        <f t="shared" si="1"/>
        <v>17464.23</v>
      </c>
      <c r="K50" s="8">
        <f t="shared" si="2"/>
        <v>100627.23</v>
      </c>
      <c r="L50" s="4" t="s">
        <v>47</v>
      </c>
    </row>
    <row r="51" ht="15.75" customHeight="1">
      <c r="A51" s="6">
        <v>46131.0</v>
      </c>
      <c r="B51" s="4" t="s">
        <v>37</v>
      </c>
      <c r="C51" s="4" t="s">
        <v>330</v>
      </c>
      <c r="D51" s="4" t="s">
        <v>20</v>
      </c>
      <c r="E51" s="4"/>
      <c r="F51" s="4" t="s">
        <v>22</v>
      </c>
      <c r="G51" s="7">
        <v>5.0</v>
      </c>
      <c r="H51" s="8">
        <v>96109.0</v>
      </c>
      <c r="I51" s="9">
        <v>0.21</v>
      </c>
      <c r="J51" s="8">
        <f t="shared" si="1"/>
        <v>20182.89</v>
      </c>
      <c r="K51" s="8">
        <f t="shared" si="2"/>
        <v>116291.89</v>
      </c>
      <c r="L51" s="4" t="s">
        <v>36</v>
      </c>
    </row>
    <row r="52" ht="15.75" customHeight="1">
      <c r="A52" s="6">
        <v>46132.0</v>
      </c>
      <c r="B52" s="4" t="s">
        <v>37</v>
      </c>
      <c r="C52" s="4" t="s">
        <v>331</v>
      </c>
      <c r="D52" s="4" t="s">
        <v>20</v>
      </c>
      <c r="E52" s="4"/>
      <c r="F52" s="4" t="s">
        <v>39</v>
      </c>
      <c r="G52" s="7">
        <v>6.0</v>
      </c>
      <c r="H52" s="8">
        <v>109055.0</v>
      </c>
      <c r="I52" s="9">
        <v>0.21</v>
      </c>
      <c r="J52" s="8">
        <f t="shared" si="1"/>
        <v>22901.55</v>
      </c>
      <c r="K52" s="8">
        <f t="shared" si="2"/>
        <v>131956.55</v>
      </c>
      <c r="L52" s="4" t="s">
        <v>43</v>
      </c>
    </row>
    <row r="53" ht="15.75" customHeight="1">
      <c r="A53" s="6">
        <v>46133.0</v>
      </c>
      <c r="B53" s="4" t="s">
        <v>37</v>
      </c>
      <c r="C53" s="4" t="s">
        <v>333</v>
      </c>
      <c r="D53" s="4" t="s">
        <v>45</v>
      </c>
      <c r="E53" s="4"/>
      <c r="F53" s="4" t="s">
        <v>46</v>
      </c>
      <c r="G53" s="7">
        <v>1.0</v>
      </c>
      <c r="H53" s="8">
        <v>122001.0</v>
      </c>
      <c r="I53" s="9">
        <v>0.21</v>
      </c>
      <c r="J53" s="8">
        <f t="shared" si="1"/>
        <v>25620.21</v>
      </c>
      <c r="K53" s="8">
        <f t="shared" si="2"/>
        <v>147621.21</v>
      </c>
      <c r="L53" s="4" t="s">
        <v>49</v>
      </c>
    </row>
    <row r="54" ht="15.75" customHeight="1">
      <c r="A54" s="6">
        <v>46134.0</v>
      </c>
      <c r="B54" s="4" t="s">
        <v>37</v>
      </c>
      <c r="C54" s="4" t="s">
        <v>335</v>
      </c>
      <c r="D54" s="4" t="s">
        <v>20</v>
      </c>
      <c r="E54" s="4"/>
      <c r="F54" s="4" t="s">
        <v>25</v>
      </c>
      <c r="G54" s="7">
        <v>2.0</v>
      </c>
      <c r="H54" s="8">
        <v>44946.0</v>
      </c>
      <c r="I54" s="9">
        <v>0.21</v>
      </c>
      <c r="J54" s="8">
        <f t="shared" si="1"/>
        <v>9438.66</v>
      </c>
      <c r="K54" s="8">
        <f t="shared" si="2"/>
        <v>54384.66</v>
      </c>
      <c r="L54" s="4" t="s">
        <v>40</v>
      </c>
    </row>
    <row r="55" ht="15.75" customHeight="1">
      <c r="A55" s="6">
        <v>46135.0</v>
      </c>
      <c r="B55" s="4" t="s">
        <v>18</v>
      </c>
      <c r="C55" s="4" t="s">
        <v>337</v>
      </c>
      <c r="D55" s="4" t="s">
        <v>56</v>
      </c>
      <c r="E55" s="4" t="s">
        <v>338</v>
      </c>
      <c r="F55" s="4" t="s">
        <v>22</v>
      </c>
      <c r="G55" s="7">
        <v>3.0</v>
      </c>
      <c r="H55" s="8">
        <v>57892.0</v>
      </c>
      <c r="I55" s="9">
        <v>0.21</v>
      </c>
      <c r="J55" s="8">
        <f t="shared" si="1"/>
        <v>12157.32</v>
      </c>
      <c r="K55" s="8">
        <f t="shared" si="2"/>
        <v>70049.32</v>
      </c>
      <c r="L55" s="4" t="s">
        <v>47</v>
      </c>
    </row>
    <row r="56" ht="15.75" customHeight="1">
      <c r="A56" s="6">
        <v>46136.0</v>
      </c>
      <c r="B56" s="4" t="s">
        <v>37</v>
      </c>
      <c r="C56" s="4" t="s">
        <v>340</v>
      </c>
      <c r="D56" s="4" t="s">
        <v>20</v>
      </c>
      <c r="E56" s="4"/>
      <c r="F56" s="4" t="s">
        <v>39</v>
      </c>
      <c r="G56" s="7">
        <v>4.0</v>
      </c>
      <c r="H56" s="8">
        <v>70838.0</v>
      </c>
      <c r="I56" s="9">
        <v>0.21</v>
      </c>
      <c r="J56" s="8">
        <f t="shared" si="1"/>
        <v>14875.98</v>
      </c>
      <c r="K56" s="8">
        <f t="shared" si="2"/>
        <v>85713.98</v>
      </c>
      <c r="L56" s="4" t="s">
        <v>36</v>
      </c>
    </row>
    <row r="57" ht="15.75" customHeight="1">
      <c r="A57" s="6">
        <v>46137.0</v>
      </c>
      <c r="B57" s="4" t="s">
        <v>37</v>
      </c>
      <c r="C57" s="4" t="s">
        <v>342</v>
      </c>
      <c r="D57" s="4" t="s">
        <v>42</v>
      </c>
      <c r="E57" s="4"/>
      <c r="F57" s="4" t="s">
        <v>46</v>
      </c>
      <c r="G57" s="7">
        <v>5.0</v>
      </c>
      <c r="H57" s="8">
        <v>83784.0</v>
      </c>
      <c r="I57" s="9">
        <v>0.21</v>
      </c>
      <c r="J57" s="8">
        <f t="shared" si="1"/>
        <v>17594.64</v>
      </c>
      <c r="K57" s="8">
        <f t="shared" si="2"/>
        <v>101378.64</v>
      </c>
      <c r="L57" s="4" t="s">
        <v>43</v>
      </c>
    </row>
    <row r="58" ht="15.75" customHeight="1">
      <c r="A58" s="6">
        <v>46138.0</v>
      </c>
      <c r="B58" s="4" t="s">
        <v>37</v>
      </c>
      <c r="C58" s="4" t="s">
        <v>344</v>
      </c>
      <c r="D58" s="4" t="s">
        <v>20</v>
      </c>
      <c r="E58" s="4"/>
      <c r="F58" s="4" t="s">
        <v>25</v>
      </c>
      <c r="G58" s="7">
        <v>6.0</v>
      </c>
      <c r="H58" s="8">
        <v>96730.0</v>
      </c>
      <c r="I58" s="9">
        <v>0.21</v>
      </c>
      <c r="J58" s="8">
        <f t="shared" si="1"/>
        <v>20313.3</v>
      </c>
      <c r="K58" s="8">
        <f t="shared" si="2"/>
        <v>117043.3</v>
      </c>
      <c r="L58" s="4" t="s">
        <v>49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6" width="28.0"/>
    <col customWidth="1" min="7" max="7" width="9.88"/>
    <col customWidth="1" min="8" max="8" width="9.0"/>
    <col customWidth="1" min="9" max="9" width="8.5"/>
    <col customWidth="1" min="10" max="10" width="9.38"/>
    <col customWidth="1" min="11" max="11" width="19.0"/>
    <col customWidth="1" min="12" max="26" width="8.63"/>
  </cols>
  <sheetData>
    <row r="1" ht="30.0" customHeight="1">
      <c r="A1" s="3" t="s">
        <v>285</v>
      </c>
    </row>
    <row r="2">
      <c r="A2" s="2" t="s">
        <v>14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31.5" customHeight="1">
      <c r="A4" s="5" t="s">
        <v>5</v>
      </c>
      <c r="B4" s="5" t="s">
        <v>26</v>
      </c>
      <c r="C4" s="5" t="s">
        <v>27</v>
      </c>
      <c r="D4" s="5" t="s">
        <v>6</v>
      </c>
      <c r="E4" s="5" t="s">
        <v>28</v>
      </c>
      <c r="F4" s="5" t="s">
        <v>29</v>
      </c>
      <c r="G4" s="5" t="s">
        <v>12</v>
      </c>
      <c r="H4" s="5" t="s">
        <v>13</v>
      </c>
      <c r="I4" s="5" t="s">
        <v>30</v>
      </c>
      <c r="J4" s="5" t="s">
        <v>16</v>
      </c>
      <c r="K4" s="5" t="s">
        <v>31</v>
      </c>
    </row>
    <row r="5">
      <c r="A5" s="6">
        <v>46114.0</v>
      </c>
      <c r="B5" s="4" t="s">
        <v>32</v>
      </c>
      <c r="C5" s="4" t="s">
        <v>33</v>
      </c>
      <c r="D5" s="4" t="s">
        <v>18</v>
      </c>
      <c r="E5" s="4" t="s">
        <v>34</v>
      </c>
      <c r="F5" s="4" t="s">
        <v>35</v>
      </c>
      <c r="G5" s="8">
        <v>222736.0</v>
      </c>
      <c r="H5" s="9">
        <v>0.105</v>
      </c>
      <c r="I5" s="8">
        <f t="shared" ref="I5:I22" si="1">ROUND(G5*H5,2)</f>
        <v>23387.28</v>
      </c>
      <c r="J5" s="8">
        <f t="shared" ref="J5:J22" si="2">ROUND(G5+I5,2)</f>
        <v>246123.28</v>
      </c>
      <c r="K5" s="4" t="s">
        <v>47</v>
      </c>
    </row>
    <row r="6">
      <c r="A6" s="6">
        <v>46117.0</v>
      </c>
      <c r="B6" s="4" t="s">
        <v>51</v>
      </c>
      <c r="C6" s="4" t="s">
        <v>53</v>
      </c>
      <c r="D6" s="4" t="s">
        <v>37</v>
      </c>
      <c r="E6" s="4" t="s">
        <v>34</v>
      </c>
      <c r="F6" s="4" t="s">
        <v>35</v>
      </c>
      <c r="G6" s="8">
        <v>122414.0</v>
      </c>
      <c r="H6" s="9">
        <v>0.105</v>
      </c>
      <c r="I6" s="8">
        <f t="shared" si="1"/>
        <v>12853.47</v>
      </c>
      <c r="J6" s="8">
        <f t="shared" si="2"/>
        <v>135267.47</v>
      </c>
      <c r="K6" s="4" t="s">
        <v>43</v>
      </c>
    </row>
    <row r="7">
      <c r="A7" s="6">
        <v>46120.0</v>
      </c>
      <c r="B7" s="4" t="s">
        <v>62</v>
      </c>
      <c r="C7" s="4" t="s">
        <v>63</v>
      </c>
      <c r="D7" s="4" t="s">
        <v>37</v>
      </c>
      <c r="E7" s="4" t="s">
        <v>65</v>
      </c>
      <c r="F7" s="4" t="s">
        <v>67</v>
      </c>
      <c r="G7" s="8">
        <v>71640.0</v>
      </c>
      <c r="H7" s="9">
        <v>0.21</v>
      </c>
      <c r="I7" s="8">
        <f t="shared" si="1"/>
        <v>15044.4</v>
      </c>
      <c r="J7" s="8">
        <f t="shared" si="2"/>
        <v>86684.4</v>
      </c>
      <c r="K7" s="4" t="s">
        <v>40</v>
      </c>
    </row>
    <row r="8">
      <c r="A8" s="6">
        <v>46123.0</v>
      </c>
      <c r="B8" s="4" t="s">
        <v>72</v>
      </c>
      <c r="C8" s="4" t="s">
        <v>73</v>
      </c>
      <c r="D8" s="4" t="s">
        <v>18</v>
      </c>
      <c r="E8" s="4" t="s">
        <v>65</v>
      </c>
      <c r="F8" s="4" t="s">
        <v>67</v>
      </c>
      <c r="G8" s="8">
        <v>64107.0</v>
      </c>
      <c r="H8" s="9">
        <v>0.21</v>
      </c>
      <c r="I8" s="8">
        <f t="shared" si="1"/>
        <v>13462.47</v>
      </c>
      <c r="J8" s="8">
        <f t="shared" si="2"/>
        <v>77569.47</v>
      </c>
      <c r="K8" s="4" t="s">
        <v>36</v>
      </c>
    </row>
    <row r="9">
      <c r="A9" s="6">
        <v>46126.0</v>
      </c>
      <c r="B9" s="4" t="s">
        <v>77</v>
      </c>
      <c r="C9" s="4" t="s">
        <v>78</v>
      </c>
      <c r="D9" s="4" t="s">
        <v>37</v>
      </c>
      <c r="E9" s="4" t="s">
        <v>79</v>
      </c>
      <c r="F9" s="4" t="s">
        <v>81</v>
      </c>
      <c r="G9" s="8">
        <v>150936.0</v>
      </c>
      <c r="H9" s="9">
        <v>0.21</v>
      </c>
      <c r="I9" s="8">
        <f t="shared" si="1"/>
        <v>31696.56</v>
      </c>
      <c r="J9" s="8">
        <f t="shared" si="2"/>
        <v>182632.56</v>
      </c>
      <c r="K9" s="4" t="s">
        <v>49</v>
      </c>
    </row>
    <row r="10">
      <c r="A10" s="6">
        <v>46129.0</v>
      </c>
      <c r="B10" s="4" t="s">
        <v>84</v>
      </c>
      <c r="C10" s="4" t="s">
        <v>85</v>
      </c>
      <c r="D10" s="4" t="s">
        <v>37</v>
      </c>
      <c r="E10" s="4" t="s">
        <v>86</v>
      </c>
      <c r="F10" s="4" t="s">
        <v>88</v>
      </c>
      <c r="G10" s="8">
        <v>87286.0</v>
      </c>
      <c r="H10" s="9">
        <v>0.21</v>
      </c>
      <c r="I10" s="8">
        <f t="shared" si="1"/>
        <v>18330.06</v>
      </c>
      <c r="J10" s="8">
        <f t="shared" si="2"/>
        <v>105616.06</v>
      </c>
      <c r="K10" s="4" t="s">
        <v>47</v>
      </c>
    </row>
    <row r="11">
      <c r="A11" s="6">
        <v>46132.0</v>
      </c>
      <c r="B11" s="4" t="s">
        <v>90</v>
      </c>
      <c r="C11" s="4" t="s">
        <v>91</v>
      </c>
      <c r="D11" s="4" t="s">
        <v>18</v>
      </c>
      <c r="E11" s="4" t="s">
        <v>94</v>
      </c>
      <c r="F11" s="4" t="s">
        <v>95</v>
      </c>
      <c r="G11" s="8">
        <v>20853.0</v>
      </c>
      <c r="H11" s="9">
        <v>0.21</v>
      </c>
      <c r="I11" s="8">
        <f t="shared" si="1"/>
        <v>4379.13</v>
      </c>
      <c r="J11" s="8">
        <f t="shared" si="2"/>
        <v>25232.13</v>
      </c>
      <c r="K11" s="4" t="s">
        <v>43</v>
      </c>
    </row>
    <row r="12">
      <c r="A12" s="6">
        <v>46135.0</v>
      </c>
      <c r="B12" s="4" t="s">
        <v>97</v>
      </c>
      <c r="C12" s="4" t="s">
        <v>98</v>
      </c>
      <c r="D12" s="4" t="s">
        <v>37</v>
      </c>
      <c r="E12" s="4" t="s">
        <v>100</v>
      </c>
      <c r="F12" s="4" t="s">
        <v>101</v>
      </c>
      <c r="G12" s="8">
        <v>44327.0</v>
      </c>
      <c r="H12" s="9">
        <v>0.21</v>
      </c>
      <c r="I12" s="8">
        <f t="shared" si="1"/>
        <v>9308.67</v>
      </c>
      <c r="J12" s="8">
        <f t="shared" si="2"/>
        <v>53635.67</v>
      </c>
      <c r="K12" s="4" t="s">
        <v>40</v>
      </c>
    </row>
    <row r="13">
      <c r="A13" s="6">
        <v>46138.0</v>
      </c>
      <c r="B13" s="4" t="s">
        <v>103</v>
      </c>
      <c r="C13" s="4" t="s">
        <v>104</v>
      </c>
      <c r="D13" s="4" t="s">
        <v>37</v>
      </c>
      <c r="E13" s="4" t="s">
        <v>106</v>
      </c>
      <c r="F13" s="4" t="s">
        <v>107</v>
      </c>
      <c r="G13" s="8">
        <v>29792.0</v>
      </c>
      <c r="H13" s="9">
        <v>0.21</v>
      </c>
      <c r="I13" s="8">
        <f t="shared" si="1"/>
        <v>6256.32</v>
      </c>
      <c r="J13" s="8">
        <f t="shared" si="2"/>
        <v>36048.32</v>
      </c>
      <c r="K13" s="4" t="s">
        <v>36</v>
      </c>
    </row>
    <row r="14">
      <c r="A14" s="6">
        <v>46114.0</v>
      </c>
      <c r="B14" s="4" t="s">
        <v>111</v>
      </c>
      <c r="C14" s="4" t="s">
        <v>112</v>
      </c>
      <c r="D14" s="4" t="s">
        <v>18</v>
      </c>
      <c r="E14" s="4" t="s">
        <v>113</v>
      </c>
      <c r="F14" s="4" t="s">
        <v>114</v>
      </c>
      <c r="G14" s="8">
        <v>98732.0</v>
      </c>
      <c r="H14" s="9">
        <v>0.21</v>
      </c>
      <c r="I14" s="8">
        <f t="shared" si="1"/>
        <v>20733.72</v>
      </c>
      <c r="J14" s="8">
        <f t="shared" si="2"/>
        <v>119465.72</v>
      </c>
      <c r="K14" s="4" t="s">
        <v>49</v>
      </c>
    </row>
    <row r="15">
      <c r="A15" s="6">
        <v>46117.0</v>
      </c>
      <c r="B15" s="4" t="s">
        <v>118</v>
      </c>
      <c r="C15" s="4" t="s">
        <v>119</v>
      </c>
      <c r="D15" s="4" t="s">
        <v>37</v>
      </c>
      <c r="E15" s="4" t="s">
        <v>123</v>
      </c>
      <c r="F15" s="4" t="s">
        <v>124</v>
      </c>
      <c r="G15" s="8">
        <v>25714.0</v>
      </c>
      <c r="H15" s="9">
        <v>0.21</v>
      </c>
      <c r="I15" s="8">
        <f t="shared" si="1"/>
        <v>5399.94</v>
      </c>
      <c r="J15" s="8">
        <f t="shared" si="2"/>
        <v>31113.94</v>
      </c>
      <c r="K15" s="4" t="s">
        <v>47</v>
      </c>
    </row>
    <row r="16">
      <c r="A16" s="6">
        <v>46120.0</v>
      </c>
      <c r="B16" s="4" t="s">
        <v>127</v>
      </c>
      <c r="C16" s="4" t="s">
        <v>128</v>
      </c>
      <c r="D16" s="4" t="s">
        <v>37</v>
      </c>
      <c r="E16" s="4" t="s">
        <v>130</v>
      </c>
      <c r="F16" s="4" t="s">
        <v>131</v>
      </c>
      <c r="G16" s="8">
        <v>51479.0</v>
      </c>
      <c r="H16" s="9">
        <v>0.21</v>
      </c>
      <c r="I16" s="8">
        <f t="shared" si="1"/>
        <v>10810.59</v>
      </c>
      <c r="J16" s="8">
        <f t="shared" si="2"/>
        <v>62289.59</v>
      </c>
      <c r="K16" s="4" t="s">
        <v>43</v>
      </c>
    </row>
    <row r="17">
      <c r="A17" s="6">
        <v>46123.0</v>
      </c>
      <c r="B17" s="4" t="s">
        <v>134</v>
      </c>
      <c r="C17" s="4" t="s">
        <v>136</v>
      </c>
      <c r="D17" s="4" t="s">
        <v>18</v>
      </c>
      <c r="E17" s="4" t="s">
        <v>130</v>
      </c>
      <c r="F17" s="4" t="s">
        <v>131</v>
      </c>
      <c r="G17" s="8">
        <v>37065.0</v>
      </c>
      <c r="H17" s="9">
        <v>0.21</v>
      </c>
      <c r="I17" s="8">
        <f t="shared" si="1"/>
        <v>7783.65</v>
      </c>
      <c r="J17" s="8">
        <f t="shared" si="2"/>
        <v>44848.65</v>
      </c>
      <c r="K17" s="4" t="s">
        <v>40</v>
      </c>
    </row>
    <row r="18">
      <c r="A18" s="6">
        <v>46126.0</v>
      </c>
      <c r="B18" s="4" t="s">
        <v>141</v>
      </c>
      <c r="C18" s="4" t="s">
        <v>142</v>
      </c>
      <c r="D18" s="4" t="s">
        <v>37</v>
      </c>
      <c r="E18" s="4" t="s">
        <v>143</v>
      </c>
      <c r="F18" s="4" t="s">
        <v>144</v>
      </c>
      <c r="G18" s="8">
        <v>39144.0</v>
      </c>
      <c r="H18" s="9">
        <v>0.21</v>
      </c>
      <c r="I18" s="8">
        <f t="shared" si="1"/>
        <v>8220.24</v>
      </c>
      <c r="J18" s="8">
        <f t="shared" si="2"/>
        <v>47364.24</v>
      </c>
      <c r="K18" s="4" t="s">
        <v>36</v>
      </c>
    </row>
    <row r="19">
      <c r="A19" s="6">
        <v>46129.0</v>
      </c>
      <c r="B19" s="4" t="s">
        <v>147</v>
      </c>
      <c r="C19" s="4" t="s">
        <v>148</v>
      </c>
      <c r="D19" s="4" t="s">
        <v>37</v>
      </c>
      <c r="E19" s="4" t="s">
        <v>143</v>
      </c>
      <c r="F19" s="4" t="s">
        <v>144</v>
      </c>
      <c r="G19" s="8">
        <v>32265.0</v>
      </c>
      <c r="H19" s="9">
        <v>0.21</v>
      </c>
      <c r="I19" s="8">
        <f t="shared" si="1"/>
        <v>6775.65</v>
      </c>
      <c r="J19" s="8">
        <f t="shared" si="2"/>
        <v>39040.65</v>
      </c>
      <c r="K19" s="4" t="s">
        <v>49</v>
      </c>
    </row>
    <row r="20">
      <c r="A20" s="6">
        <v>46132.0</v>
      </c>
      <c r="B20" s="4" t="s">
        <v>151</v>
      </c>
      <c r="C20" s="4" t="s">
        <v>152</v>
      </c>
      <c r="D20" s="4" t="s">
        <v>18</v>
      </c>
      <c r="E20" s="4" t="s">
        <v>130</v>
      </c>
      <c r="F20" s="4" t="s">
        <v>131</v>
      </c>
      <c r="G20" s="8">
        <v>20646.0</v>
      </c>
      <c r="H20" s="9">
        <v>0.21</v>
      </c>
      <c r="I20" s="8">
        <f t="shared" si="1"/>
        <v>4335.66</v>
      </c>
      <c r="J20" s="8">
        <f t="shared" si="2"/>
        <v>24981.66</v>
      </c>
      <c r="K20" s="4" t="s">
        <v>47</v>
      </c>
    </row>
    <row r="21" ht="15.75" customHeight="1">
      <c r="A21" s="6">
        <v>46135.0</v>
      </c>
      <c r="B21" s="4" t="s">
        <v>155</v>
      </c>
      <c r="C21" s="4" t="s">
        <v>156</v>
      </c>
      <c r="D21" s="4" t="s">
        <v>37</v>
      </c>
      <c r="E21" s="4" t="s">
        <v>123</v>
      </c>
      <c r="F21" s="4" t="s">
        <v>124</v>
      </c>
      <c r="G21" s="8">
        <v>50957.0</v>
      </c>
      <c r="H21" s="9">
        <v>0.21</v>
      </c>
      <c r="I21" s="8">
        <f t="shared" si="1"/>
        <v>10700.97</v>
      </c>
      <c r="J21" s="8">
        <f t="shared" si="2"/>
        <v>61657.97</v>
      </c>
      <c r="K21" s="4" t="s">
        <v>43</v>
      </c>
    </row>
    <row r="22" ht="15.75" customHeight="1">
      <c r="A22" s="6">
        <v>46138.0</v>
      </c>
      <c r="B22" s="4" t="s">
        <v>160</v>
      </c>
      <c r="C22" s="4" t="s">
        <v>161</v>
      </c>
      <c r="D22" s="4" t="s">
        <v>37</v>
      </c>
      <c r="E22" s="4" t="s">
        <v>162</v>
      </c>
      <c r="F22" s="4" t="s">
        <v>163</v>
      </c>
      <c r="G22" s="8">
        <v>11540.0</v>
      </c>
      <c r="H22" s="9">
        <v>0.21</v>
      </c>
      <c r="I22" s="8">
        <f t="shared" si="1"/>
        <v>2423.4</v>
      </c>
      <c r="J22" s="8">
        <f t="shared" si="2"/>
        <v>13963.4</v>
      </c>
      <c r="K22" s="4" t="s">
        <v>40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2" width="16.0"/>
    <col customWidth="1" min="3" max="3" width="11.25"/>
    <col customWidth="1" min="4" max="6" width="27.0"/>
    <col customWidth="1" min="7" max="7" width="6.75"/>
    <col customWidth="1" min="8" max="8" width="9.88"/>
    <col customWidth="1" min="9" max="9" width="9.0"/>
    <col customWidth="1" min="10" max="10" width="8.5"/>
    <col customWidth="1" min="11" max="11" width="9.38"/>
    <col customWidth="1" min="12" max="12" width="19.0"/>
    <col customWidth="1" min="13" max="26" width="8.63"/>
  </cols>
  <sheetData>
    <row r="1" ht="30.0" customHeight="1">
      <c r="A1" s="1" t="s">
        <v>345</v>
      </c>
    </row>
    <row r="2">
      <c r="A2" s="2" t="s">
        <v>4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31.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15</v>
      </c>
      <c r="K4" s="5" t="s">
        <v>16</v>
      </c>
      <c r="L4" s="5" t="s">
        <v>17</v>
      </c>
    </row>
    <row r="5">
      <c r="A5" s="6">
        <v>46143.0</v>
      </c>
      <c r="B5" s="4" t="s">
        <v>18</v>
      </c>
      <c r="C5" s="4" t="s">
        <v>346</v>
      </c>
      <c r="D5" s="4" t="s">
        <v>58</v>
      </c>
      <c r="E5" s="4" t="s">
        <v>347</v>
      </c>
      <c r="F5" s="4" t="s">
        <v>25</v>
      </c>
      <c r="G5" s="7">
        <v>1.0</v>
      </c>
      <c r="H5" s="8">
        <v>131221.0</v>
      </c>
      <c r="I5" s="9">
        <v>0.21</v>
      </c>
      <c r="J5" s="8">
        <f t="shared" ref="J5:J58" si="1">ROUND(H5*I5,2)</f>
        <v>27556.41</v>
      </c>
      <c r="K5" s="8">
        <f t="shared" ref="K5:K58" si="2">ROUND(H5+J5,2)</f>
        <v>158777.41</v>
      </c>
      <c r="L5" s="4" t="s">
        <v>43</v>
      </c>
    </row>
    <row r="6">
      <c r="A6" s="6">
        <v>46144.0</v>
      </c>
      <c r="B6" s="4" t="s">
        <v>37</v>
      </c>
      <c r="C6" s="4" t="s">
        <v>348</v>
      </c>
      <c r="D6" s="4" t="s">
        <v>20</v>
      </c>
      <c r="E6" s="4"/>
      <c r="F6" s="4" t="s">
        <v>22</v>
      </c>
      <c r="G6" s="7">
        <v>2.0</v>
      </c>
      <c r="H6" s="8">
        <v>54166.0</v>
      </c>
      <c r="I6" s="9">
        <v>0.21</v>
      </c>
      <c r="J6" s="8">
        <f t="shared" si="1"/>
        <v>11374.86</v>
      </c>
      <c r="K6" s="8">
        <f t="shared" si="2"/>
        <v>65540.86</v>
      </c>
      <c r="L6" s="4" t="s">
        <v>49</v>
      </c>
    </row>
    <row r="7">
      <c r="A7" s="6">
        <v>46145.0</v>
      </c>
      <c r="B7" s="4" t="s">
        <v>37</v>
      </c>
      <c r="C7" s="4" t="s">
        <v>349</v>
      </c>
      <c r="D7" s="4" t="s">
        <v>20</v>
      </c>
      <c r="E7" s="4"/>
      <c r="F7" s="4" t="s">
        <v>39</v>
      </c>
      <c r="G7" s="7">
        <v>3.0</v>
      </c>
      <c r="H7" s="8">
        <v>67112.0</v>
      </c>
      <c r="I7" s="9">
        <v>0.21</v>
      </c>
      <c r="J7" s="8">
        <f t="shared" si="1"/>
        <v>14093.52</v>
      </c>
      <c r="K7" s="8">
        <f t="shared" si="2"/>
        <v>81205.52</v>
      </c>
      <c r="L7" s="4" t="s">
        <v>40</v>
      </c>
    </row>
    <row r="8">
      <c r="A8" s="6">
        <v>46146.0</v>
      </c>
      <c r="B8" s="4" t="s">
        <v>37</v>
      </c>
      <c r="C8" s="4" t="s">
        <v>350</v>
      </c>
      <c r="D8" s="4" t="s">
        <v>20</v>
      </c>
      <c r="E8" s="4"/>
      <c r="F8" s="4" t="s">
        <v>46</v>
      </c>
      <c r="G8" s="7">
        <v>4.0</v>
      </c>
      <c r="H8" s="8">
        <v>80058.0</v>
      </c>
      <c r="I8" s="9">
        <v>0.21</v>
      </c>
      <c r="J8" s="8">
        <f t="shared" si="1"/>
        <v>16812.18</v>
      </c>
      <c r="K8" s="8">
        <f t="shared" si="2"/>
        <v>96870.18</v>
      </c>
      <c r="L8" s="4" t="s">
        <v>47</v>
      </c>
    </row>
    <row r="9">
      <c r="A9" s="6">
        <v>46147.0</v>
      </c>
      <c r="B9" s="4" t="s">
        <v>37</v>
      </c>
      <c r="C9" s="4" t="s">
        <v>351</v>
      </c>
      <c r="D9" s="4" t="s">
        <v>20</v>
      </c>
      <c r="E9" s="4"/>
      <c r="F9" s="4" t="s">
        <v>25</v>
      </c>
      <c r="G9" s="7">
        <v>5.0</v>
      </c>
      <c r="H9" s="8">
        <v>93004.0</v>
      </c>
      <c r="I9" s="9">
        <v>0.21</v>
      </c>
      <c r="J9" s="8">
        <f t="shared" si="1"/>
        <v>19530.84</v>
      </c>
      <c r="K9" s="8">
        <f t="shared" si="2"/>
        <v>112534.84</v>
      </c>
      <c r="L9" s="4" t="s">
        <v>36</v>
      </c>
    </row>
    <row r="10">
      <c r="A10" s="6">
        <v>46148.0</v>
      </c>
      <c r="B10" s="4" t="s">
        <v>37</v>
      </c>
      <c r="C10" s="4" t="s">
        <v>352</v>
      </c>
      <c r="D10" s="4" t="s">
        <v>45</v>
      </c>
      <c r="E10" s="4"/>
      <c r="F10" s="4" t="s">
        <v>22</v>
      </c>
      <c r="G10" s="7">
        <v>6.0</v>
      </c>
      <c r="H10" s="8">
        <v>105950.0</v>
      </c>
      <c r="I10" s="9">
        <v>0.21</v>
      </c>
      <c r="J10" s="8">
        <f t="shared" si="1"/>
        <v>22249.5</v>
      </c>
      <c r="K10" s="8">
        <f t="shared" si="2"/>
        <v>128199.5</v>
      </c>
      <c r="L10" s="4" t="s">
        <v>43</v>
      </c>
    </row>
    <row r="11">
      <c r="A11" s="6">
        <v>46149.0</v>
      </c>
      <c r="B11" s="4" t="s">
        <v>37</v>
      </c>
      <c r="C11" s="4" t="s">
        <v>353</v>
      </c>
      <c r="D11" s="4" t="s">
        <v>20</v>
      </c>
      <c r="E11" s="4"/>
      <c r="F11" s="4" t="s">
        <v>39</v>
      </c>
      <c r="G11" s="7">
        <v>1.0</v>
      </c>
      <c r="H11" s="8">
        <v>118896.0</v>
      </c>
      <c r="I11" s="9">
        <v>0.21</v>
      </c>
      <c r="J11" s="8">
        <f t="shared" si="1"/>
        <v>24968.16</v>
      </c>
      <c r="K11" s="8">
        <f t="shared" si="2"/>
        <v>143864.16</v>
      </c>
      <c r="L11" s="4" t="s">
        <v>49</v>
      </c>
    </row>
    <row r="12">
      <c r="A12" s="6">
        <v>46150.0</v>
      </c>
      <c r="B12" s="4" t="s">
        <v>37</v>
      </c>
      <c r="C12" s="4" t="s">
        <v>354</v>
      </c>
      <c r="D12" s="4" t="s">
        <v>56</v>
      </c>
      <c r="E12" s="4"/>
      <c r="F12" s="4" t="s">
        <v>46</v>
      </c>
      <c r="G12" s="7">
        <v>2.0</v>
      </c>
      <c r="H12" s="8">
        <v>131842.0</v>
      </c>
      <c r="I12" s="9">
        <v>0.21</v>
      </c>
      <c r="J12" s="8">
        <f t="shared" si="1"/>
        <v>27686.82</v>
      </c>
      <c r="K12" s="8">
        <f t="shared" si="2"/>
        <v>159528.82</v>
      </c>
      <c r="L12" s="4" t="s">
        <v>40</v>
      </c>
    </row>
    <row r="13">
      <c r="A13" s="6">
        <v>46151.0</v>
      </c>
      <c r="B13" s="4" t="s">
        <v>37</v>
      </c>
      <c r="C13" s="4" t="s">
        <v>355</v>
      </c>
      <c r="D13" s="4" t="s">
        <v>20</v>
      </c>
      <c r="E13" s="4"/>
      <c r="F13" s="4" t="s">
        <v>25</v>
      </c>
      <c r="G13" s="7">
        <v>3.0</v>
      </c>
      <c r="H13" s="8">
        <v>54787.0</v>
      </c>
      <c r="I13" s="9">
        <v>0.21</v>
      </c>
      <c r="J13" s="8">
        <f t="shared" si="1"/>
        <v>11505.27</v>
      </c>
      <c r="K13" s="8">
        <f t="shared" si="2"/>
        <v>66292.27</v>
      </c>
      <c r="L13" s="4" t="s">
        <v>47</v>
      </c>
    </row>
    <row r="14">
      <c r="A14" s="6">
        <v>46152.0</v>
      </c>
      <c r="B14" s="4" t="s">
        <v>37</v>
      </c>
      <c r="C14" s="4" t="s">
        <v>356</v>
      </c>
      <c r="D14" s="4" t="s">
        <v>42</v>
      </c>
      <c r="E14" s="4"/>
      <c r="F14" s="4" t="s">
        <v>22</v>
      </c>
      <c r="G14" s="7">
        <v>4.0</v>
      </c>
      <c r="H14" s="8">
        <v>67733.0</v>
      </c>
      <c r="I14" s="9">
        <v>0.21</v>
      </c>
      <c r="J14" s="8">
        <f t="shared" si="1"/>
        <v>14223.93</v>
      </c>
      <c r="K14" s="8">
        <f t="shared" si="2"/>
        <v>81956.93</v>
      </c>
      <c r="L14" s="4" t="s">
        <v>36</v>
      </c>
    </row>
    <row r="15">
      <c r="A15" s="6">
        <v>46153.0</v>
      </c>
      <c r="B15" s="4" t="s">
        <v>18</v>
      </c>
      <c r="C15" s="4" t="s">
        <v>357</v>
      </c>
      <c r="D15" s="4" t="s">
        <v>20</v>
      </c>
      <c r="E15" s="4" t="s">
        <v>358</v>
      </c>
      <c r="F15" s="4" t="s">
        <v>39</v>
      </c>
      <c r="G15" s="7">
        <v>5.0</v>
      </c>
      <c r="H15" s="8">
        <v>80679.0</v>
      </c>
      <c r="I15" s="9">
        <v>0.21</v>
      </c>
      <c r="J15" s="8">
        <f t="shared" si="1"/>
        <v>16942.59</v>
      </c>
      <c r="K15" s="8">
        <f t="shared" si="2"/>
        <v>97621.59</v>
      </c>
      <c r="L15" s="4" t="s">
        <v>43</v>
      </c>
    </row>
    <row r="16">
      <c r="A16" s="6">
        <v>46154.0</v>
      </c>
      <c r="B16" s="4" t="s">
        <v>37</v>
      </c>
      <c r="C16" s="4" t="s">
        <v>359</v>
      </c>
      <c r="D16" s="4" t="s">
        <v>54</v>
      </c>
      <c r="E16" s="4"/>
      <c r="F16" s="4" t="s">
        <v>46</v>
      </c>
      <c r="G16" s="7">
        <v>6.0</v>
      </c>
      <c r="H16" s="8">
        <v>93625.0</v>
      </c>
      <c r="I16" s="9">
        <v>0.21</v>
      </c>
      <c r="J16" s="8">
        <f t="shared" si="1"/>
        <v>19661.25</v>
      </c>
      <c r="K16" s="8">
        <f t="shared" si="2"/>
        <v>113286.25</v>
      </c>
      <c r="L16" s="4" t="s">
        <v>49</v>
      </c>
    </row>
    <row r="17">
      <c r="A17" s="6">
        <v>46155.0</v>
      </c>
      <c r="B17" s="4" t="s">
        <v>37</v>
      </c>
      <c r="C17" s="4" t="s">
        <v>360</v>
      </c>
      <c r="D17" s="4" t="s">
        <v>58</v>
      </c>
      <c r="E17" s="4"/>
      <c r="F17" s="4" t="s">
        <v>25</v>
      </c>
      <c r="G17" s="7">
        <v>1.0</v>
      </c>
      <c r="H17" s="8">
        <v>106571.0</v>
      </c>
      <c r="I17" s="9">
        <v>0.21</v>
      </c>
      <c r="J17" s="8">
        <f t="shared" si="1"/>
        <v>22379.91</v>
      </c>
      <c r="K17" s="8">
        <f t="shared" si="2"/>
        <v>128950.91</v>
      </c>
      <c r="L17" s="4" t="s">
        <v>40</v>
      </c>
    </row>
    <row r="18">
      <c r="A18" s="6">
        <v>46156.0</v>
      </c>
      <c r="B18" s="4" t="s">
        <v>37</v>
      </c>
      <c r="C18" s="4" t="s">
        <v>361</v>
      </c>
      <c r="D18" s="4" t="s">
        <v>20</v>
      </c>
      <c r="E18" s="4"/>
      <c r="F18" s="4" t="s">
        <v>22</v>
      </c>
      <c r="G18" s="7">
        <v>2.0</v>
      </c>
      <c r="H18" s="8">
        <v>119517.0</v>
      </c>
      <c r="I18" s="9">
        <v>0.21</v>
      </c>
      <c r="J18" s="8">
        <f t="shared" si="1"/>
        <v>25098.57</v>
      </c>
      <c r="K18" s="8">
        <f t="shared" si="2"/>
        <v>144615.57</v>
      </c>
      <c r="L18" s="4" t="s">
        <v>47</v>
      </c>
    </row>
    <row r="19">
      <c r="A19" s="6">
        <v>46157.0</v>
      </c>
      <c r="B19" s="4" t="s">
        <v>37</v>
      </c>
      <c r="C19" s="4" t="s">
        <v>362</v>
      </c>
      <c r="D19" s="4" t="s">
        <v>20</v>
      </c>
      <c r="E19" s="4"/>
      <c r="F19" s="4" t="s">
        <v>39</v>
      </c>
      <c r="G19" s="7">
        <v>3.0</v>
      </c>
      <c r="H19" s="8">
        <v>42462.0</v>
      </c>
      <c r="I19" s="9">
        <v>0.21</v>
      </c>
      <c r="J19" s="8">
        <f t="shared" si="1"/>
        <v>8917.02</v>
      </c>
      <c r="K19" s="8">
        <f t="shared" si="2"/>
        <v>51379.02</v>
      </c>
      <c r="L19" s="4" t="s">
        <v>36</v>
      </c>
    </row>
    <row r="20">
      <c r="A20" s="6">
        <v>46158.0</v>
      </c>
      <c r="B20" s="4" t="s">
        <v>37</v>
      </c>
      <c r="C20" s="4" t="s">
        <v>363</v>
      </c>
      <c r="D20" s="4" t="s">
        <v>20</v>
      </c>
      <c r="E20" s="4"/>
      <c r="F20" s="4" t="s">
        <v>46</v>
      </c>
      <c r="G20" s="7">
        <v>4.0</v>
      </c>
      <c r="H20" s="8">
        <v>55408.0</v>
      </c>
      <c r="I20" s="9">
        <v>0.21</v>
      </c>
      <c r="J20" s="8">
        <f t="shared" si="1"/>
        <v>11635.68</v>
      </c>
      <c r="K20" s="8">
        <f t="shared" si="2"/>
        <v>67043.68</v>
      </c>
      <c r="L20" s="4" t="s">
        <v>43</v>
      </c>
    </row>
    <row r="21" ht="15.75" customHeight="1">
      <c r="A21" s="6">
        <v>46159.0</v>
      </c>
      <c r="B21" s="4" t="s">
        <v>37</v>
      </c>
      <c r="C21" s="4" t="s">
        <v>364</v>
      </c>
      <c r="D21" s="4" t="s">
        <v>20</v>
      </c>
      <c r="E21" s="4"/>
      <c r="F21" s="4" t="s">
        <v>25</v>
      </c>
      <c r="G21" s="7">
        <v>5.0</v>
      </c>
      <c r="H21" s="8">
        <v>68354.0</v>
      </c>
      <c r="I21" s="9">
        <v>0.21</v>
      </c>
      <c r="J21" s="8">
        <f t="shared" si="1"/>
        <v>14354.34</v>
      </c>
      <c r="K21" s="8">
        <f t="shared" si="2"/>
        <v>82708.34</v>
      </c>
      <c r="L21" s="4" t="s">
        <v>49</v>
      </c>
    </row>
    <row r="22" ht="15.75" customHeight="1">
      <c r="A22" s="6">
        <v>46160.0</v>
      </c>
      <c r="B22" s="4" t="s">
        <v>37</v>
      </c>
      <c r="C22" s="4" t="s">
        <v>365</v>
      </c>
      <c r="D22" s="4" t="s">
        <v>45</v>
      </c>
      <c r="E22" s="4"/>
      <c r="F22" s="4" t="s">
        <v>22</v>
      </c>
      <c r="G22" s="7">
        <v>6.0</v>
      </c>
      <c r="H22" s="8">
        <v>81300.0</v>
      </c>
      <c r="I22" s="9">
        <v>0.21</v>
      </c>
      <c r="J22" s="8">
        <f t="shared" si="1"/>
        <v>17073</v>
      </c>
      <c r="K22" s="8">
        <f t="shared" si="2"/>
        <v>98373</v>
      </c>
      <c r="L22" s="4" t="s">
        <v>40</v>
      </c>
    </row>
    <row r="23" ht="15.75" customHeight="1">
      <c r="A23" s="6">
        <v>46161.0</v>
      </c>
      <c r="B23" s="4" t="s">
        <v>37</v>
      </c>
      <c r="C23" s="4" t="s">
        <v>366</v>
      </c>
      <c r="D23" s="4" t="s">
        <v>20</v>
      </c>
      <c r="E23" s="4"/>
      <c r="F23" s="4" t="s">
        <v>39</v>
      </c>
      <c r="G23" s="7">
        <v>1.0</v>
      </c>
      <c r="H23" s="8">
        <v>94246.0</v>
      </c>
      <c r="I23" s="9">
        <v>0.21</v>
      </c>
      <c r="J23" s="8">
        <f t="shared" si="1"/>
        <v>19791.66</v>
      </c>
      <c r="K23" s="8">
        <f t="shared" si="2"/>
        <v>114037.66</v>
      </c>
      <c r="L23" s="4" t="s">
        <v>47</v>
      </c>
    </row>
    <row r="24" ht="15.75" customHeight="1">
      <c r="A24" s="6">
        <v>46162.0</v>
      </c>
      <c r="B24" s="4" t="s">
        <v>37</v>
      </c>
      <c r="C24" s="4" t="s">
        <v>367</v>
      </c>
      <c r="D24" s="4" t="s">
        <v>56</v>
      </c>
      <c r="E24" s="4"/>
      <c r="F24" s="4" t="s">
        <v>46</v>
      </c>
      <c r="G24" s="7">
        <v>2.0</v>
      </c>
      <c r="H24" s="8">
        <v>107192.0</v>
      </c>
      <c r="I24" s="9">
        <v>0.21</v>
      </c>
      <c r="J24" s="8">
        <f t="shared" si="1"/>
        <v>22510.32</v>
      </c>
      <c r="K24" s="8">
        <f t="shared" si="2"/>
        <v>129702.32</v>
      </c>
      <c r="L24" s="4" t="s">
        <v>36</v>
      </c>
    </row>
    <row r="25" ht="15.75" customHeight="1">
      <c r="A25" s="6">
        <v>46163.0</v>
      </c>
      <c r="B25" s="4" t="s">
        <v>18</v>
      </c>
      <c r="C25" s="4" t="s">
        <v>368</v>
      </c>
      <c r="D25" s="4" t="s">
        <v>20</v>
      </c>
      <c r="E25" s="4" t="s">
        <v>369</v>
      </c>
      <c r="F25" s="4" t="s">
        <v>25</v>
      </c>
      <c r="G25" s="7">
        <v>3.0</v>
      </c>
      <c r="H25" s="8">
        <v>120138.0</v>
      </c>
      <c r="I25" s="9">
        <v>0.21</v>
      </c>
      <c r="J25" s="8">
        <f t="shared" si="1"/>
        <v>25228.98</v>
      </c>
      <c r="K25" s="8">
        <f t="shared" si="2"/>
        <v>145366.98</v>
      </c>
      <c r="L25" s="4" t="s">
        <v>43</v>
      </c>
    </row>
    <row r="26" ht="15.75" customHeight="1">
      <c r="A26" s="6">
        <v>46164.0</v>
      </c>
      <c r="B26" s="4" t="s">
        <v>37</v>
      </c>
      <c r="C26" s="4" t="s">
        <v>370</v>
      </c>
      <c r="D26" s="4" t="s">
        <v>42</v>
      </c>
      <c r="E26" s="4"/>
      <c r="F26" s="4" t="s">
        <v>22</v>
      </c>
      <c r="G26" s="7">
        <v>4.0</v>
      </c>
      <c r="H26" s="8">
        <v>43083.0</v>
      </c>
      <c r="I26" s="9">
        <v>0.21</v>
      </c>
      <c r="J26" s="8">
        <f t="shared" si="1"/>
        <v>9047.43</v>
      </c>
      <c r="K26" s="8">
        <f t="shared" si="2"/>
        <v>52130.43</v>
      </c>
      <c r="L26" s="4" t="s">
        <v>49</v>
      </c>
    </row>
    <row r="27" ht="15.75" customHeight="1">
      <c r="A27" s="6">
        <v>46165.0</v>
      </c>
      <c r="B27" s="4" t="s">
        <v>37</v>
      </c>
      <c r="C27" s="4" t="s">
        <v>371</v>
      </c>
      <c r="D27" s="4" t="s">
        <v>20</v>
      </c>
      <c r="E27" s="4"/>
      <c r="F27" s="4" t="s">
        <v>39</v>
      </c>
      <c r="G27" s="7">
        <v>5.0</v>
      </c>
      <c r="H27" s="8">
        <v>56029.0</v>
      </c>
      <c r="I27" s="9">
        <v>0.21</v>
      </c>
      <c r="J27" s="8">
        <f t="shared" si="1"/>
        <v>11766.09</v>
      </c>
      <c r="K27" s="8">
        <f t="shared" si="2"/>
        <v>67795.09</v>
      </c>
      <c r="L27" s="4" t="s">
        <v>40</v>
      </c>
    </row>
    <row r="28" ht="15.75" customHeight="1">
      <c r="A28" s="6">
        <v>46166.0</v>
      </c>
      <c r="B28" s="4" t="s">
        <v>37</v>
      </c>
      <c r="C28" s="4" t="s">
        <v>372</v>
      </c>
      <c r="D28" s="4" t="s">
        <v>54</v>
      </c>
      <c r="E28" s="4"/>
      <c r="F28" s="4" t="s">
        <v>46</v>
      </c>
      <c r="G28" s="7">
        <v>6.0</v>
      </c>
      <c r="H28" s="8">
        <v>68975.0</v>
      </c>
      <c r="I28" s="9">
        <v>0.21</v>
      </c>
      <c r="J28" s="8">
        <f t="shared" si="1"/>
        <v>14484.75</v>
      </c>
      <c r="K28" s="8">
        <f t="shared" si="2"/>
        <v>83459.75</v>
      </c>
      <c r="L28" s="4" t="s">
        <v>47</v>
      </c>
    </row>
    <row r="29" ht="15.75" customHeight="1">
      <c r="A29" s="6">
        <v>46167.0</v>
      </c>
      <c r="B29" s="4" t="s">
        <v>37</v>
      </c>
      <c r="C29" s="4" t="s">
        <v>373</v>
      </c>
      <c r="D29" s="4" t="s">
        <v>58</v>
      </c>
      <c r="E29" s="4"/>
      <c r="F29" s="4" t="s">
        <v>25</v>
      </c>
      <c r="G29" s="7">
        <v>1.0</v>
      </c>
      <c r="H29" s="8">
        <v>81921.0</v>
      </c>
      <c r="I29" s="9">
        <v>0.21</v>
      </c>
      <c r="J29" s="8">
        <f t="shared" si="1"/>
        <v>17203.41</v>
      </c>
      <c r="K29" s="8">
        <f t="shared" si="2"/>
        <v>99124.41</v>
      </c>
      <c r="L29" s="4" t="s">
        <v>36</v>
      </c>
    </row>
    <row r="30" ht="15.75" customHeight="1">
      <c r="A30" s="6">
        <v>46168.0</v>
      </c>
      <c r="B30" s="4" t="s">
        <v>37</v>
      </c>
      <c r="C30" s="4" t="s">
        <v>374</v>
      </c>
      <c r="D30" s="4" t="s">
        <v>20</v>
      </c>
      <c r="E30" s="4"/>
      <c r="F30" s="4" t="s">
        <v>22</v>
      </c>
      <c r="G30" s="7">
        <v>2.0</v>
      </c>
      <c r="H30" s="8">
        <v>94867.0</v>
      </c>
      <c r="I30" s="9">
        <v>0.21</v>
      </c>
      <c r="J30" s="8">
        <f t="shared" si="1"/>
        <v>19922.07</v>
      </c>
      <c r="K30" s="8">
        <f t="shared" si="2"/>
        <v>114789.07</v>
      </c>
      <c r="L30" s="4" t="s">
        <v>43</v>
      </c>
    </row>
    <row r="31" ht="15.75" customHeight="1">
      <c r="A31" s="6">
        <v>46169.0</v>
      </c>
      <c r="B31" s="4" t="s">
        <v>37</v>
      </c>
      <c r="C31" s="4" t="s">
        <v>376</v>
      </c>
      <c r="D31" s="4" t="s">
        <v>20</v>
      </c>
      <c r="E31" s="4"/>
      <c r="F31" s="4" t="s">
        <v>39</v>
      </c>
      <c r="G31" s="7">
        <v>3.0</v>
      </c>
      <c r="H31" s="8">
        <v>107813.0</v>
      </c>
      <c r="I31" s="9">
        <v>0.21</v>
      </c>
      <c r="J31" s="8">
        <f t="shared" si="1"/>
        <v>22640.73</v>
      </c>
      <c r="K31" s="8">
        <f t="shared" si="2"/>
        <v>130453.73</v>
      </c>
      <c r="L31" s="4" t="s">
        <v>49</v>
      </c>
    </row>
    <row r="32" ht="15.75" customHeight="1">
      <c r="A32" s="6">
        <v>46170.0</v>
      </c>
      <c r="B32" s="4" t="s">
        <v>37</v>
      </c>
      <c r="C32" s="4" t="s">
        <v>377</v>
      </c>
      <c r="D32" s="4" t="s">
        <v>20</v>
      </c>
      <c r="E32" s="4"/>
      <c r="F32" s="4" t="s">
        <v>46</v>
      </c>
      <c r="G32" s="7">
        <v>4.0</v>
      </c>
      <c r="H32" s="8">
        <v>120759.0</v>
      </c>
      <c r="I32" s="9">
        <v>0.21</v>
      </c>
      <c r="J32" s="8">
        <f t="shared" si="1"/>
        <v>25359.39</v>
      </c>
      <c r="K32" s="8">
        <f t="shared" si="2"/>
        <v>146118.39</v>
      </c>
      <c r="L32" s="4" t="s">
        <v>40</v>
      </c>
    </row>
    <row r="33" ht="15.75" customHeight="1">
      <c r="A33" s="6">
        <v>46143.0</v>
      </c>
      <c r="B33" s="4" t="s">
        <v>37</v>
      </c>
      <c r="C33" s="4" t="s">
        <v>378</v>
      </c>
      <c r="D33" s="4" t="s">
        <v>20</v>
      </c>
      <c r="E33" s="4"/>
      <c r="F33" s="4" t="s">
        <v>25</v>
      </c>
      <c r="G33" s="7">
        <v>5.0</v>
      </c>
      <c r="H33" s="8">
        <v>43704.0</v>
      </c>
      <c r="I33" s="9">
        <v>0.21</v>
      </c>
      <c r="J33" s="8">
        <f t="shared" si="1"/>
        <v>9177.84</v>
      </c>
      <c r="K33" s="8">
        <f t="shared" si="2"/>
        <v>52881.84</v>
      </c>
      <c r="L33" s="4" t="s">
        <v>47</v>
      </c>
    </row>
    <row r="34" ht="15.75" customHeight="1">
      <c r="A34" s="6">
        <v>46144.0</v>
      </c>
      <c r="B34" s="4" t="s">
        <v>37</v>
      </c>
      <c r="C34" s="4" t="s">
        <v>379</v>
      </c>
      <c r="D34" s="4" t="s">
        <v>45</v>
      </c>
      <c r="E34" s="4"/>
      <c r="F34" s="4" t="s">
        <v>22</v>
      </c>
      <c r="G34" s="7">
        <v>6.0</v>
      </c>
      <c r="H34" s="8">
        <v>56650.0</v>
      </c>
      <c r="I34" s="9">
        <v>0.21</v>
      </c>
      <c r="J34" s="8">
        <f t="shared" si="1"/>
        <v>11896.5</v>
      </c>
      <c r="K34" s="8">
        <f t="shared" si="2"/>
        <v>68546.5</v>
      </c>
      <c r="L34" s="4" t="s">
        <v>36</v>
      </c>
    </row>
    <row r="35" ht="15.75" customHeight="1">
      <c r="A35" s="6">
        <v>46145.0</v>
      </c>
      <c r="B35" s="4" t="s">
        <v>18</v>
      </c>
      <c r="C35" s="4" t="s">
        <v>380</v>
      </c>
      <c r="D35" s="4" t="s">
        <v>20</v>
      </c>
      <c r="E35" s="4" t="s">
        <v>381</v>
      </c>
      <c r="F35" s="4" t="s">
        <v>39</v>
      </c>
      <c r="G35" s="7">
        <v>1.0</v>
      </c>
      <c r="H35" s="8">
        <v>69596.0</v>
      </c>
      <c r="I35" s="9">
        <v>0.21</v>
      </c>
      <c r="J35" s="8">
        <f t="shared" si="1"/>
        <v>14615.16</v>
      </c>
      <c r="K35" s="8">
        <f t="shared" si="2"/>
        <v>84211.16</v>
      </c>
      <c r="L35" s="4" t="s">
        <v>43</v>
      </c>
    </row>
    <row r="36" ht="15.75" customHeight="1">
      <c r="A36" s="6">
        <v>46146.0</v>
      </c>
      <c r="B36" s="4" t="s">
        <v>37</v>
      </c>
      <c r="C36" s="4" t="s">
        <v>382</v>
      </c>
      <c r="D36" s="4" t="s">
        <v>56</v>
      </c>
      <c r="E36" s="4"/>
      <c r="F36" s="4" t="s">
        <v>46</v>
      </c>
      <c r="G36" s="7">
        <v>2.0</v>
      </c>
      <c r="H36" s="8">
        <v>82542.0</v>
      </c>
      <c r="I36" s="9">
        <v>0.21</v>
      </c>
      <c r="J36" s="8">
        <f t="shared" si="1"/>
        <v>17333.82</v>
      </c>
      <c r="K36" s="8">
        <f t="shared" si="2"/>
        <v>99875.82</v>
      </c>
      <c r="L36" s="4" t="s">
        <v>49</v>
      </c>
    </row>
    <row r="37" ht="15.75" customHeight="1">
      <c r="A37" s="6">
        <v>46147.0</v>
      </c>
      <c r="B37" s="4" t="s">
        <v>37</v>
      </c>
      <c r="C37" s="4" t="s">
        <v>383</v>
      </c>
      <c r="D37" s="4" t="s">
        <v>20</v>
      </c>
      <c r="E37" s="4"/>
      <c r="F37" s="4" t="s">
        <v>25</v>
      </c>
      <c r="G37" s="7">
        <v>3.0</v>
      </c>
      <c r="H37" s="8">
        <v>95488.0</v>
      </c>
      <c r="I37" s="9">
        <v>0.21</v>
      </c>
      <c r="J37" s="8">
        <f t="shared" si="1"/>
        <v>20052.48</v>
      </c>
      <c r="K37" s="8">
        <f t="shared" si="2"/>
        <v>115540.48</v>
      </c>
      <c r="L37" s="4" t="s">
        <v>40</v>
      </c>
    </row>
    <row r="38" ht="15.75" customHeight="1">
      <c r="A38" s="6">
        <v>46148.0</v>
      </c>
      <c r="B38" s="4" t="s">
        <v>37</v>
      </c>
      <c r="C38" s="4" t="s">
        <v>385</v>
      </c>
      <c r="D38" s="4" t="s">
        <v>42</v>
      </c>
      <c r="E38" s="4"/>
      <c r="F38" s="4" t="s">
        <v>22</v>
      </c>
      <c r="G38" s="7">
        <v>4.0</v>
      </c>
      <c r="H38" s="8">
        <v>108434.0</v>
      </c>
      <c r="I38" s="9">
        <v>0.21</v>
      </c>
      <c r="J38" s="8">
        <f t="shared" si="1"/>
        <v>22771.14</v>
      </c>
      <c r="K38" s="8">
        <f t="shared" si="2"/>
        <v>131205.14</v>
      </c>
      <c r="L38" s="4" t="s">
        <v>47</v>
      </c>
    </row>
    <row r="39" ht="15.75" customHeight="1">
      <c r="A39" s="6">
        <v>46149.0</v>
      </c>
      <c r="B39" s="4" t="s">
        <v>37</v>
      </c>
      <c r="C39" s="4" t="s">
        <v>386</v>
      </c>
      <c r="D39" s="4" t="s">
        <v>20</v>
      </c>
      <c r="E39" s="4"/>
      <c r="F39" s="4" t="s">
        <v>39</v>
      </c>
      <c r="G39" s="7">
        <v>5.0</v>
      </c>
      <c r="H39" s="8">
        <v>121380.0</v>
      </c>
      <c r="I39" s="9">
        <v>0.21</v>
      </c>
      <c r="J39" s="8">
        <f t="shared" si="1"/>
        <v>25489.8</v>
      </c>
      <c r="K39" s="8">
        <f t="shared" si="2"/>
        <v>146869.8</v>
      </c>
      <c r="L39" s="4" t="s">
        <v>36</v>
      </c>
    </row>
    <row r="40" ht="15.75" customHeight="1">
      <c r="A40" s="6">
        <v>46150.0</v>
      </c>
      <c r="B40" s="4" t="s">
        <v>37</v>
      </c>
      <c r="C40" s="4" t="s">
        <v>387</v>
      </c>
      <c r="D40" s="4" t="s">
        <v>54</v>
      </c>
      <c r="E40" s="4"/>
      <c r="F40" s="4" t="s">
        <v>46</v>
      </c>
      <c r="G40" s="7">
        <v>6.0</v>
      </c>
      <c r="H40" s="8">
        <v>44325.0</v>
      </c>
      <c r="I40" s="9">
        <v>0.21</v>
      </c>
      <c r="J40" s="8">
        <f t="shared" si="1"/>
        <v>9308.25</v>
      </c>
      <c r="K40" s="8">
        <f t="shared" si="2"/>
        <v>53633.25</v>
      </c>
      <c r="L40" s="4" t="s">
        <v>43</v>
      </c>
    </row>
    <row r="41" ht="15.75" customHeight="1">
      <c r="A41" s="6">
        <v>46151.0</v>
      </c>
      <c r="B41" s="4" t="s">
        <v>37</v>
      </c>
      <c r="C41" s="4" t="s">
        <v>389</v>
      </c>
      <c r="D41" s="4" t="s">
        <v>58</v>
      </c>
      <c r="E41" s="4"/>
      <c r="F41" s="4" t="s">
        <v>25</v>
      </c>
      <c r="G41" s="7">
        <v>1.0</v>
      </c>
      <c r="H41" s="8">
        <v>57271.0</v>
      </c>
      <c r="I41" s="9">
        <v>0.21</v>
      </c>
      <c r="J41" s="8">
        <f t="shared" si="1"/>
        <v>12026.91</v>
      </c>
      <c r="K41" s="8">
        <f t="shared" si="2"/>
        <v>69297.91</v>
      </c>
      <c r="L41" s="4" t="s">
        <v>49</v>
      </c>
    </row>
    <row r="42" ht="15.75" customHeight="1">
      <c r="A42" s="6">
        <v>46152.0</v>
      </c>
      <c r="B42" s="4" t="s">
        <v>37</v>
      </c>
      <c r="C42" s="4" t="s">
        <v>392</v>
      </c>
      <c r="D42" s="4" t="s">
        <v>20</v>
      </c>
      <c r="E42" s="4"/>
      <c r="F42" s="4" t="s">
        <v>22</v>
      </c>
      <c r="G42" s="7">
        <v>2.0</v>
      </c>
      <c r="H42" s="8">
        <v>70217.0</v>
      </c>
      <c r="I42" s="9">
        <v>0.21</v>
      </c>
      <c r="J42" s="8">
        <f t="shared" si="1"/>
        <v>14745.57</v>
      </c>
      <c r="K42" s="8">
        <f t="shared" si="2"/>
        <v>84962.57</v>
      </c>
      <c r="L42" s="4" t="s">
        <v>40</v>
      </c>
    </row>
    <row r="43" ht="15.75" customHeight="1">
      <c r="A43" s="6">
        <v>46153.0</v>
      </c>
      <c r="B43" s="4" t="s">
        <v>37</v>
      </c>
      <c r="C43" s="4" t="s">
        <v>393</v>
      </c>
      <c r="D43" s="4" t="s">
        <v>20</v>
      </c>
      <c r="E43" s="4"/>
      <c r="F43" s="4" t="s">
        <v>39</v>
      </c>
      <c r="G43" s="7">
        <v>3.0</v>
      </c>
      <c r="H43" s="8">
        <v>83163.0</v>
      </c>
      <c r="I43" s="9">
        <v>0.21</v>
      </c>
      <c r="J43" s="8">
        <f t="shared" si="1"/>
        <v>17464.23</v>
      </c>
      <c r="K43" s="8">
        <f t="shared" si="2"/>
        <v>100627.23</v>
      </c>
      <c r="L43" s="4" t="s">
        <v>47</v>
      </c>
    </row>
    <row r="44" ht="15.75" customHeight="1">
      <c r="A44" s="6">
        <v>46154.0</v>
      </c>
      <c r="B44" s="4" t="s">
        <v>37</v>
      </c>
      <c r="C44" s="4" t="s">
        <v>394</v>
      </c>
      <c r="D44" s="4" t="s">
        <v>20</v>
      </c>
      <c r="E44" s="4"/>
      <c r="F44" s="4" t="s">
        <v>46</v>
      </c>
      <c r="G44" s="7">
        <v>4.0</v>
      </c>
      <c r="H44" s="8">
        <v>96109.0</v>
      </c>
      <c r="I44" s="9">
        <v>0.21</v>
      </c>
      <c r="J44" s="8">
        <f t="shared" si="1"/>
        <v>20182.89</v>
      </c>
      <c r="K44" s="8">
        <f t="shared" si="2"/>
        <v>116291.89</v>
      </c>
      <c r="L44" s="4" t="s">
        <v>36</v>
      </c>
    </row>
    <row r="45" ht="15.75" customHeight="1">
      <c r="A45" s="6">
        <v>46155.0</v>
      </c>
      <c r="B45" s="4" t="s">
        <v>18</v>
      </c>
      <c r="C45" s="4" t="s">
        <v>395</v>
      </c>
      <c r="D45" s="4" t="s">
        <v>20</v>
      </c>
      <c r="E45" s="4" t="s">
        <v>396</v>
      </c>
      <c r="F45" s="4" t="s">
        <v>25</v>
      </c>
      <c r="G45" s="7">
        <v>5.0</v>
      </c>
      <c r="H45" s="8">
        <v>109055.0</v>
      </c>
      <c r="I45" s="9">
        <v>0.21</v>
      </c>
      <c r="J45" s="8">
        <f t="shared" si="1"/>
        <v>22901.55</v>
      </c>
      <c r="K45" s="8">
        <f t="shared" si="2"/>
        <v>131956.55</v>
      </c>
      <c r="L45" s="4" t="s">
        <v>43</v>
      </c>
    </row>
    <row r="46" ht="15.75" customHeight="1">
      <c r="A46" s="6">
        <v>46156.0</v>
      </c>
      <c r="B46" s="4" t="s">
        <v>37</v>
      </c>
      <c r="C46" s="4" t="s">
        <v>398</v>
      </c>
      <c r="D46" s="4" t="s">
        <v>45</v>
      </c>
      <c r="E46" s="4"/>
      <c r="F46" s="4" t="s">
        <v>22</v>
      </c>
      <c r="G46" s="7">
        <v>6.0</v>
      </c>
      <c r="H46" s="8">
        <v>122001.0</v>
      </c>
      <c r="I46" s="9">
        <v>0.21</v>
      </c>
      <c r="J46" s="8">
        <f t="shared" si="1"/>
        <v>25620.21</v>
      </c>
      <c r="K46" s="8">
        <f t="shared" si="2"/>
        <v>147621.21</v>
      </c>
      <c r="L46" s="4" t="s">
        <v>49</v>
      </c>
    </row>
    <row r="47" ht="15.75" customHeight="1">
      <c r="A47" s="6">
        <v>46157.0</v>
      </c>
      <c r="B47" s="4" t="s">
        <v>37</v>
      </c>
      <c r="C47" s="4" t="s">
        <v>400</v>
      </c>
      <c r="D47" s="4" t="s">
        <v>20</v>
      </c>
      <c r="E47" s="4"/>
      <c r="F47" s="4" t="s">
        <v>39</v>
      </c>
      <c r="G47" s="7">
        <v>1.0</v>
      </c>
      <c r="H47" s="8">
        <v>44946.0</v>
      </c>
      <c r="I47" s="9">
        <v>0.21</v>
      </c>
      <c r="J47" s="8">
        <f t="shared" si="1"/>
        <v>9438.66</v>
      </c>
      <c r="K47" s="8">
        <f t="shared" si="2"/>
        <v>54384.66</v>
      </c>
      <c r="L47" s="4" t="s">
        <v>40</v>
      </c>
    </row>
    <row r="48" ht="15.75" customHeight="1">
      <c r="A48" s="6">
        <v>46158.0</v>
      </c>
      <c r="B48" s="4" t="s">
        <v>37</v>
      </c>
      <c r="C48" s="4" t="s">
        <v>401</v>
      </c>
      <c r="D48" s="4" t="s">
        <v>56</v>
      </c>
      <c r="E48" s="4"/>
      <c r="F48" s="4" t="s">
        <v>46</v>
      </c>
      <c r="G48" s="7">
        <v>2.0</v>
      </c>
      <c r="H48" s="8">
        <v>57892.0</v>
      </c>
      <c r="I48" s="9">
        <v>0.21</v>
      </c>
      <c r="J48" s="8">
        <f t="shared" si="1"/>
        <v>12157.32</v>
      </c>
      <c r="K48" s="8">
        <f t="shared" si="2"/>
        <v>70049.32</v>
      </c>
      <c r="L48" s="4" t="s">
        <v>47</v>
      </c>
    </row>
    <row r="49" ht="15.75" customHeight="1">
      <c r="A49" s="6">
        <v>46159.0</v>
      </c>
      <c r="B49" s="4" t="s">
        <v>37</v>
      </c>
      <c r="C49" s="4" t="s">
        <v>403</v>
      </c>
      <c r="D49" s="4" t="s">
        <v>20</v>
      </c>
      <c r="E49" s="4"/>
      <c r="F49" s="4" t="s">
        <v>25</v>
      </c>
      <c r="G49" s="7">
        <v>3.0</v>
      </c>
      <c r="H49" s="8">
        <v>70838.0</v>
      </c>
      <c r="I49" s="9">
        <v>0.21</v>
      </c>
      <c r="J49" s="8">
        <f t="shared" si="1"/>
        <v>14875.98</v>
      </c>
      <c r="K49" s="8">
        <f t="shared" si="2"/>
        <v>85713.98</v>
      </c>
      <c r="L49" s="4" t="s">
        <v>36</v>
      </c>
    </row>
    <row r="50" ht="15.75" customHeight="1">
      <c r="A50" s="6">
        <v>46160.0</v>
      </c>
      <c r="B50" s="4" t="s">
        <v>37</v>
      </c>
      <c r="C50" s="4" t="s">
        <v>405</v>
      </c>
      <c r="D50" s="4" t="s">
        <v>42</v>
      </c>
      <c r="E50" s="4"/>
      <c r="F50" s="4" t="s">
        <v>22</v>
      </c>
      <c r="G50" s="7">
        <v>4.0</v>
      </c>
      <c r="H50" s="8">
        <v>83784.0</v>
      </c>
      <c r="I50" s="9">
        <v>0.21</v>
      </c>
      <c r="J50" s="8">
        <f t="shared" si="1"/>
        <v>17594.64</v>
      </c>
      <c r="K50" s="8">
        <f t="shared" si="2"/>
        <v>101378.64</v>
      </c>
      <c r="L50" s="4" t="s">
        <v>43</v>
      </c>
    </row>
    <row r="51" ht="15.75" customHeight="1">
      <c r="A51" s="6">
        <v>46161.0</v>
      </c>
      <c r="B51" s="4" t="s">
        <v>37</v>
      </c>
      <c r="C51" s="4" t="s">
        <v>407</v>
      </c>
      <c r="D51" s="4" t="s">
        <v>20</v>
      </c>
      <c r="E51" s="4"/>
      <c r="F51" s="4" t="s">
        <v>39</v>
      </c>
      <c r="G51" s="7">
        <v>5.0</v>
      </c>
      <c r="H51" s="8">
        <v>96730.0</v>
      </c>
      <c r="I51" s="9">
        <v>0.21</v>
      </c>
      <c r="J51" s="8">
        <f t="shared" si="1"/>
        <v>20313.3</v>
      </c>
      <c r="K51" s="8">
        <f t="shared" si="2"/>
        <v>117043.3</v>
      </c>
      <c r="L51" s="4" t="s">
        <v>49</v>
      </c>
    </row>
    <row r="52" ht="15.75" customHeight="1">
      <c r="A52" s="6">
        <v>46162.0</v>
      </c>
      <c r="B52" s="4" t="s">
        <v>37</v>
      </c>
      <c r="C52" s="4" t="s">
        <v>409</v>
      </c>
      <c r="D52" s="4" t="s">
        <v>54</v>
      </c>
      <c r="E52" s="4"/>
      <c r="F52" s="4" t="s">
        <v>46</v>
      </c>
      <c r="G52" s="7">
        <v>6.0</v>
      </c>
      <c r="H52" s="8">
        <v>109676.0</v>
      </c>
      <c r="I52" s="9">
        <v>0.21</v>
      </c>
      <c r="J52" s="8">
        <f t="shared" si="1"/>
        <v>23031.96</v>
      </c>
      <c r="K52" s="8">
        <f t="shared" si="2"/>
        <v>132707.96</v>
      </c>
      <c r="L52" s="4" t="s">
        <v>40</v>
      </c>
    </row>
    <row r="53" ht="15.75" customHeight="1">
      <c r="A53" s="6">
        <v>46163.0</v>
      </c>
      <c r="B53" s="4" t="s">
        <v>37</v>
      </c>
      <c r="C53" s="4" t="s">
        <v>411</v>
      </c>
      <c r="D53" s="4" t="s">
        <v>58</v>
      </c>
      <c r="E53" s="4"/>
      <c r="F53" s="4" t="s">
        <v>25</v>
      </c>
      <c r="G53" s="7">
        <v>1.0</v>
      </c>
      <c r="H53" s="8">
        <v>122622.0</v>
      </c>
      <c r="I53" s="9">
        <v>0.21</v>
      </c>
      <c r="J53" s="8">
        <f t="shared" si="1"/>
        <v>25750.62</v>
      </c>
      <c r="K53" s="8">
        <f t="shared" si="2"/>
        <v>148372.62</v>
      </c>
      <c r="L53" s="4" t="s">
        <v>47</v>
      </c>
    </row>
    <row r="54" ht="15.75" customHeight="1">
      <c r="A54" s="6">
        <v>46164.0</v>
      </c>
      <c r="B54" s="4" t="s">
        <v>37</v>
      </c>
      <c r="C54" s="4" t="s">
        <v>413</v>
      </c>
      <c r="D54" s="4" t="s">
        <v>20</v>
      </c>
      <c r="E54" s="4"/>
      <c r="F54" s="4" t="s">
        <v>22</v>
      </c>
      <c r="G54" s="7">
        <v>2.0</v>
      </c>
      <c r="H54" s="8">
        <v>45567.0</v>
      </c>
      <c r="I54" s="9">
        <v>0.21</v>
      </c>
      <c r="J54" s="8">
        <f t="shared" si="1"/>
        <v>9569.07</v>
      </c>
      <c r="K54" s="8">
        <f t="shared" si="2"/>
        <v>55136.07</v>
      </c>
      <c r="L54" s="4" t="s">
        <v>36</v>
      </c>
    </row>
    <row r="55" ht="15.75" customHeight="1">
      <c r="A55" s="6">
        <v>46165.0</v>
      </c>
      <c r="B55" s="4" t="s">
        <v>18</v>
      </c>
      <c r="C55" s="4" t="s">
        <v>415</v>
      </c>
      <c r="D55" s="4" t="s">
        <v>20</v>
      </c>
      <c r="E55" s="4" t="s">
        <v>416</v>
      </c>
      <c r="F55" s="4" t="s">
        <v>39</v>
      </c>
      <c r="G55" s="7">
        <v>3.0</v>
      </c>
      <c r="H55" s="8">
        <v>58513.0</v>
      </c>
      <c r="I55" s="9">
        <v>0.21</v>
      </c>
      <c r="J55" s="8">
        <f t="shared" si="1"/>
        <v>12287.73</v>
      </c>
      <c r="K55" s="8">
        <f t="shared" si="2"/>
        <v>70800.73</v>
      </c>
      <c r="L55" s="4" t="s">
        <v>43</v>
      </c>
    </row>
    <row r="56" ht="15.75" customHeight="1">
      <c r="A56" s="6">
        <v>46166.0</v>
      </c>
      <c r="B56" s="4" t="s">
        <v>37</v>
      </c>
      <c r="C56" s="4" t="s">
        <v>419</v>
      </c>
      <c r="D56" s="4" t="s">
        <v>20</v>
      </c>
      <c r="E56" s="4"/>
      <c r="F56" s="4" t="s">
        <v>46</v>
      </c>
      <c r="G56" s="7">
        <v>4.0</v>
      </c>
      <c r="H56" s="8">
        <v>71459.0</v>
      </c>
      <c r="I56" s="9">
        <v>0.21</v>
      </c>
      <c r="J56" s="8">
        <f t="shared" si="1"/>
        <v>15006.39</v>
      </c>
      <c r="K56" s="8">
        <f t="shared" si="2"/>
        <v>86465.39</v>
      </c>
      <c r="L56" s="4" t="s">
        <v>49</v>
      </c>
    </row>
    <row r="57" ht="15.75" customHeight="1">
      <c r="A57" s="6">
        <v>46167.0</v>
      </c>
      <c r="B57" s="4" t="s">
        <v>37</v>
      </c>
      <c r="C57" s="4" t="s">
        <v>421</v>
      </c>
      <c r="D57" s="4" t="s">
        <v>20</v>
      </c>
      <c r="E57" s="4"/>
      <c r="F57" s="4" t="s">
        <v>25</v>
      </c>
      <c r="G57" s="7">
        <v>5.0</v>
      </c>
      <c r="H57" s="8">
        <v>84405.0</v>
      </c>
      <c r="I57" s="9">
        <v>0.21</v>
      </c>
      <c r="J57" s="8">
        <f t="shared" si="1"/>
        <v>17725.05</v>
      </c>
      <c r="K57" s="8">
        <f t="shared" si="2"/>
        <v>102130.05</v>
      </c>
      <c r="L57" s="4" t="s">
        <v>40</v>
      </c>
    </row>
    <row r="58" ht="15.75" customHeight="1">
      <c r="A58" s="6">
        <v>46168.0</v>
      </c>
      <c r="B58" s="4" t="s">
        <v>37</v>
      </c>
      <c r="C58" s="4" t="s">
        <v>423</v>
      </c>
      <c r="D58" s="4" t="s">
        <v>45</v>
      </c>
      <c r="E58" s="4"/>
      <c r="F58" s="4" t="s">
        <v>22</v>
      </c>
      <c r="G58" s="7">
        <v>6.0</v>
      </c>
      <c r="H58" s="8">
        <v>97351.0</v>
      </c>
      <c r="I58" s="9">
        <v>0.21</v>
      </c>
      <c r="J58" s="8">
        <f t="shared" si="1"/>
        <v>20443.71</v>
      </c>
      <c r="K58" s="8">
        <f t="shared" si="2"/>
        <v>117794.71</v>
      </c>
      <c r="L58" s="4" t="s">
        <v>47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6" width="28.0"/>
    <col customWidth="1" min="7" max="7" width="9.88"/>
    <col customWidth="1" min="8" max="8" width="9.0"/>
    <col customWidth="1" min="9" max="9" width="8.5"/>
    <col customWidth="1" min="10" max="10" width="9.38"/>
    <col customWidth="1" min="11" max="11" width="19.0"/>
    <col customWidth="1" min="12" max="26" width="8.63"/>
  </cols>
  <sheetData>
    <row r="1" ht="30.0" customHeight="1">
      <c r="A1" s="3" t="s">
        <v>375</v>
      </c>
    </row>
    <row r="2">
      <c r="A2" s="2" t="s">
        <v>14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31.5" customHeight="1">
      <c r="A4" s="5" t="s">
        <v>5</v>
      </c>
      <c r="B4" s="5" t="s">
        <v>26</v>
      </c>
      <c r="C4" s="5" t="s">
        <v>27</v>
      </c>
      <c r="D4" s="5" t="s">
        <v>6</v>
      </c>
      <c r="E4" s="5" t="s">
        <v>28</v>
      </c>
      <c r="F4" s="5" t="s">
        <v>29</v>
      </c>
      <c r="G4" s="5" t="s">
        <v>12</v>
      </c>
      <c r="H4" s="5" t="s">
        <v>13</v>
      </c>
      <c r="I4" s="5" t="s">
        <v>30</v>
      </c>
      <c r="J4" s="5" t="s">
        <v>16</v>
      </c>
      <c r="K4" s="5" t="s">
        <v>31</v>
      </c>
    </row>
    <row r="5">
      <c r="A5" s="6">
        <v>46144.0</v>
      </c>
      <c r="B5" s="4" t="s">
        <v>32</v>
      </c>
      <c r="C5" s="4" t="s">
        <v>33</v>
      </c>
      <c r="D5" s="4" t="s">
        <v>18</v>
      </c>
      <c r="E5" s="4" t="s">
        <v>34</v>
      </c>
      <c r="F5" s="4" t="s">
        <v>35</v>
      </c>
      <c r="G5" s="8">
        <v>115196.0</v>
      </c>
      <c r="H5" s="9">
        <v>0.105</v>
      </c>
      <c r="I5" s="8">
        <f t="shared" ref="I5:I22" si="1">ROUND(G5*H5,2)</f>
        <v>12095.58</v>
      </c>
      <c r="J5" s="8">
        <f t="shared" ref="J5:J22" si="2">ROUND(G5+I5,2)</f>
        <v>127291.58</v>
      </c>
      <c r="K5" s="4" t="s">
        <v>43</v>
      </c>
    </row>
    <row r="6">
      <c r="A6" s="6">
        <v>46147.0</v>
      </c>
      <c r="B6" s="4" t="s">
        <v>51</v>
      </c>
      <c r="C6" s="4" t="s">
        <v>53</v>
      </c>
      <c r="D6" s="4" t="s">
        <v>37</v>
      </c>
      <c r="E6" s="4" t="s">
        <v>34</v>
      </c>
      <c r="F6" s="4" t="s">
        <v>35</v>
      </c>
      <c r="G6" s="8">
        <v>179876.0</v>
      </c>
      <c r="H6" s="9">
        <v>0.105</v>
      </c>
      <c r="I6" s="8">
        <f t="shared" si="1"/>
        <v>18886.98</v>
      </c>
      <c r="J6" s="8">
        <f t="shared" si="2"/>
        <v>198762.98</v>
      </c>
      <c r="K6" s="4" t="s">
        <v>40</v>
      </c>
    </row>
    <row r="7">
      <c r="A7" s="6">
        <v>46150.0</v>
      </c>
      <c r="B7" s="4" t="s">
        <v>62</v>
      </c>
      <c r="C7" s="4" t="s">
        <v>63</v>
      </c>
      <c r="D7" s="4" t="s">
        <v>37</v>
      </c>
      <c r="E7" s="4" t="s">
        <v>65</v>
      </c>
      <c r="F7" s="4" t="s">
        <v>67</v>
      </c>
      <c r="G7" s="8">
        <v>64094.0</v>
      </c>
      <c r="H7" s="9">
        <v>0.21</v>
      </c>
      <c r="I7" s="8">
        <f t="shared" si="1"/>
        <v>13459.74</v>
      </c>
      <c r="J7" s="8">
        <f t="shared" si="2"/>
        <v>77553.74</v>
      </c>
      <c r="K7" s="4" t="s">
        <v>36</v>
      </c>
    </row>
    <row r="8">
      <c r="A8" s="6">
        <v>46153.0</v>
      </c>
      <c r="B8" s="4" t="s">
        <v>72</v>
      </c>
      <c r="C8" s="4" t="s">
        <v>73</v>
      </c>
      <c r="D8" s="4" t="s">
        <v>18</v>
      </c>
      <c r="E8" s="4" t="s">
        <v>65</v>
      </c>
      <c r="F8" s="4" t="s">
        <v>67</v>
      </c>
      <c r="G8" s="8">
        <v>66558.0</v>
      </c>
      <c r="H8" s="9">
        <v>0.21</v>
      </c>
      <c r="I8" s="8">
        <f t="shared" si="1"/>
        <v>13977.18</v>
      </c>
      <c r="J8" s="8">
        <f t="shared" si="2"/>
        <v>80535.18</v>
      </c>
      <c r="K8" s="4" t="s">
        <v>49</v>
      </c>
    </row>
    <row r="9">
      <c r="A9" s="6">
        <v>46156.0</v>
      </c>
      <c r="B9" s="4" t="s">
        <v>77</v>
      </c>
      <c r="C9" s="4" t="s">
        <v>78</v>
      </c>
      <c r="D9" s="4" t="s">
        <v>37</v>
      </c>
      <c r="E9" s="4" t="s">
        <v>79</v>
      </c>
      <c r="F9" s="4" t="s">
        <v>81</v>
      </c>
      <c r="G9" s="8">
        <v>143390.0</v>
      </c>
      <c r="H9" s="9">
        <v>0.21</v>
      </c>
      <c r="I9" s="8">
        <f t="shared" si="1"/>
        <v>30111.9</v>
      </c>
      <c r="J9" s="8">
        <f t="shared" si="2"/>
        <v>173501.9</v>
      </c>
      <c r="K9" s="4" t="s">
        <v>47</v>
      </c>
    </row>
    <row r="10">
      <c r="A10" s="6">
        <v>46159.0</v>
      </c>
      <c r="B10" s="4" t="s">
        <v>84</v>
      </c>
      <c r="C10" s="4" t="s">
        <v>85</v>
      </c>
      <c r="D10" s="4" t="s">
        <v>37</v>
      </c>
      <c r="E10" s="4" t="s">
        <v>86</v>
      </c>
      <c r="F10" s="4" t="s">
        <v>88</v>
      </c>
      <c r="G10" s="8">
        <v>89735.0</v>
      </c>
      <c r="H10" s="9">
        <v>0.21</v>
      </c>
      <c r="I10" s="8">
        <f t="shared" si="1"/>
        <v>18844.35</v>
      </c>
      <c r="J10" s="8">
        <f t="shared" si="2"/>
        <v>108579.35</v>
      </c>
      <c r="K10" s="4" t="s">
        <v>43</v>
      </c>
    </row>
    <row r="11">
      <c r="A11" s="6">
        <v>46162.0</v>
      </c>
      <c r="B11" s="4" t="s">
        <v>90</v>
      </c>
      <c r="C11" s="4" t="s">
        <v>91</v>
      </c>
      <c r="D11" s="4" t="s">
        <v>18</v>
      </c>
      <c r="E11" s="4" t="s">
        <v>94</v>
      </c>
      <c r="F11" s="4" t="s">
        <v>95</v>
      </c>
      <c r="G11" s="8">
        <v>27232.0</v>
      </c>
      <c r="H11" s="9">
        <v>0.21</v>
      </c>
      <c r="I11" s="8">
        <f t="shared" si="1"/>
        <v>5718.72</v>
      </c>
      <c r="J11" s="8">
        <f t="shared" si="2"/>
        <v>32950.72</v>
      </c>
      <c r="K11" s="4" t="s">
        <v>40</v>
      </c>
    </row>
    <row r="12">
      <c r="A12" s="6">
        <v>46165.0</v>
      </c>
      <c r="B12" s="4" t="s">
        <v>97</v>
      </c>
      <c r="C12" s="4" t="s">
        <v>98</v>
      </c>
      <c r="D12" s="4" t="s">
        <v>37</v>
      </c>
      <c r="E12" s="4" t="s">
        <v>100</v>
      </c>
      <c r="F12" s="4" t="s">
        <v>101</v>
      </c>
      <c r="G12" s="8">
        <v>32754.0</v>
      </c>
      <c r="H12" s="9">
        <v>0.21</v>
      </c>
      <c r="I12" s="8">
        <f t="shared" si="1"/>
        <v>6878.34</v>
      </c>
      <c r="J12" s="8">
        <f t="shared" si="2"/>
        <v>39632.34</v>
      </c>
      <c r="K12" s="4" t="s">
        <v>36</v>
      </c>
    </row>
    <row r="13">
      <c r="A13" s="6">
        <v>46168.0</v>
      </c>
      <c r="B13" s="4" t="s">
        <v>103</v>
      </c>
      <c r="C13" s="4" t="s">
        <v>104</v>
      </c>
      <c r="D13" s="4" t="s">
        <v>37</v>
      </c>
      <c r="E13" s="4" t="s">
        <v>106</v>
      </c>
      <c r="F13" s="4" t="s">
        <v>107</v>
      </c>
      <c r="G13" s="8">
        <v>50234.0</v>
      </c>
      <c r="H13" s="9">
        <v>0.21</v>
      </c>
      <c r="I13" s="8">
        <f t="shared" si="1"/>
        <v>10549.14</v>
      </c>
      <c r="J13" s="8">
        <f t="shared" si="2"/>
        <v>60783.14</v>
      </c>
      <c r="K13" s="4" t="s">
        <v>49</v>
      </c>
    </row>
    <row r="14">
      <c r="A14" s="6">
        <v>46144.0</v>
      </c>
      <c r="B14" s="4" t="s">
        <v>111</v>
      </c>
      <c r="C14" s="4" t="s">
        <v>112</v>
      </c>
      <c r="D14" s="4" t="s">
        <v>18</v>
      </c>
      <c r="E14" s="4" t="s">
        <v>113</v>
      </c>
      <c r="F14" s="4" t="s">
        <v>114</v>
      </c>
      <c r="G14" s="8">
        <v>121179.0</v>
      </c>
      <c r="H14" s="9">
        <v>0.21</v>
      </c>
      <c r="I14" s="8">
        <f t="shared" si="1"/>
        <v>25447.59</v>
      </c>
      <c r="J14" s="8">
        <f t="shared" si="2"/>
        <v>146626.59</v>
      </c>
      <c r="K14" s="4" t="s">
        <v>47</v>
      </c>
    </row>
    <row r="15">
      <c r="A15" s="6">
        <v>46147.0</v>
      </c>
      <c r="B15" s="4" t="s">
        <v>118</v>
      </c>
      <c r="C15" s="4" t="s">
        <v>119</v>
      </c>
      <c r="D15" s="4" t="s">
        <v>37</v>
      </c>
      <c r="E15" s="4" t="s">
        <v>123</v>
      </c>
      <c r="F15" s="4" t="s">
        <v>124</v>
      </c>
      <c r="G15" s="8">
        <v>18149.0</v>
      </c>
      <c r="H15" s="9">
        <v>0.21</v>
      </c>
      <c r="I15" s="8">
        <f t="shared" si="1"/>
        <v>3811.29</v>
      </c>
      <c r="J15" s="8">
        <f t="shared" si="2"/>
        <v>21960.29</v>
      </c>
      <c r="K15" s="4" t="s">
        <v>43</v>
      </c>
    </row>
    <row r="16">
      <c r="A16" s="6">
        <v>46150.0</v>
      </c>
      <c r="B16" s="4" t="s">
        <v>127</v>
      </c>
      <c r="C16" s="4" t="s">
        <v>128</v>
      </c>
      <c r="D16" s="4" t="s">
        <v>37</v>
      </c>
      <c r="E16" s="4" t="s">
        <v>130</v>
      </c>
      <c r="F16" s="4" t="s">
        <v>131</v>
      </c>
      <c r="G16" s="8">
        <v>41916.0</v>
      </c>
      <c r="H16" s="9">
        <v>0.21</v>
      </c>
      <c r="I16" s="8">
        <f t="shared" si="1"/>
        <v>8802.36</v>
      </c>
      <c r="J16" s="8">
        <f t="shared" si="2"/>
        <v>50718.36</v>
      </c>
      <c r="K16" s="4" t="s">
        <v>40</v>
      </c>
    </row>
    <row r="17">
      <c r="A17" s="6">
        <v>46153.0</v>
      </c>
      <c r="B17" s="4" t="s">
        <v>134</v>
      </c>
      <c r="C17" s="4" t="s">
        <v>136</v>
      </c>
      <c r="D17" s="4" t="s">
        <v>18</v>
      </c>
      <c r="E17" s="4" t="s">
        <v>130</v>
      </c>
      <c r="F17" s="4" t="s">
        <v>131</v>
      </c>
      <c r="G17" s="8">
        <v>27501.0</v>
      </c>
      <c r="H17" s="9">
        <v>0.21</v>
      </c>
      <c r="I17" s="8">
        <f t="shared" si="1"/>
        <v>5775.21</v>
      </c>
      <c r="J17" s="8">
        <f t="shared" si="2"/>
        <v>33276.21</v>
      </c>
      <c r="K17" s="4" t="s">
        <v>36</v>
      </c>
    </row>
    <row r="18">
      <c r="A18" s="6">
        <v>46156.0</v>
      </c>
      <c r="B18" s="4" t="s">
        <v>141</v>
      </c>
      <c r="C18" s="4" t="s">
        <v>142</v>
      </c>
      <c r="D18" s="4" t="s">
        <v>37</v>
      </c>
      <c r="E18" s="4" t="s">
        <v>143</v>
      </c>
      <c r="F18" s="4" t="s">
        <v>144</v>
      </c>
      <c r="G18" s="8">
        <v>56588.0</v>
      </c>
      <c r="H18" s="9">
        <v>0.21</v>
      </c>
      <c r="I18" s="8">
        <f t="shared" si="1"/>
        <v>11883.48</v>
      </c>
      <c r="J18" s="8">
        <f t="shared" si="2"/>
        <v>68471.48</v>
      </c>
      <c r="K18" s="4" t="s">
        <v>49</v>
      </c>
    </row>
    <row r="19">
      <c r="A19" s="6">
        <v>46159.0</v>
      </c>
      <c r="B19" s="4" t="s">
        <v>147</v>
      </c>
      <c r="C19" s="4" t="s">
        <v>148</v>
      </c>
      <c r="D19" s="4" t="s">
        <v>37</v>
      </c>
      <c r="E19" s="4" t="s">
        <v>143</v>
      </c>
      <c r="F19" s="4" t="s">
        <v>144</v>
      </c>
      <c r="G19" s="8">
        <v>34683.0</v>
      </c>
      <c r="H19" s="9">
        <v>0.21</v>
      </c>
      <c r="I19" s="8">
        <f t="shared" si="1"/>
        <v>7283.43</v>
      </c>
      <c r="J19" s="8">
        <f t="shared" si="2"/>
        <v>41966.43</v>
      </c>
      <c r="K19" s="4" t="s">
        <v>47</v>
      </c>
    </row>
    <row r="20">
      <c r="A20" s="6">
        <v>46162.0</v>
      </c>
      <c r="B20" s="4" t="s">
        <v>151</v>
      </c>
      <c r="C20" s="4" t="s">
        <v>152</v>
      </c>
      <c r="D20" s="4" t="s">
        <v>18</v>
      </c>
      <c r="E20" s="4" t="s">
        <v>130</v>
      </c>
      <c r="F20" s="4" t="s">
        <v>131</v>
      </c>
      <c r="G20" s="8">
        <v>41077.0</v>
      </c>
      <c r="H20" s="9">
        <v>0.21</v>
      </c>
      <c r="I20" s="8">
        <f t="shared" si="1"/>
        <v>8626.17</v>
      </c>
      <c r="J20" s="8">
        <f t="shared" si="2"/>
        <v>49703.17</v>
      </c>
      <c r="K20" s="4" t="s">
        <v>43</v>
      </c>
    </row>
    <row r="21" ht="15.75" customHeight="1">
      <c r="A21" s="6">
        <v>46165.0</v>
      </c>
      <c r="B21" s="4" t="s">
        <v>155</v>
      </c>
      <c r="C21" s="4" t="s">
        <v>156</v>
      </c>
      <c r="D21" s="4" t="s">
        <v>37</v>
      </c>
      <c r="E21" s="4" t="s">
        <v>123</v>
      </c>
      <c r="F21" s="4" t="s">
        <v>124</v>
      </c>
      <c r="G21" s="8">
        <v>29398.0</v>
      </c>
      <c r="H21" s="9">
        <v>0.21</v>
      </c>
      <c r="I21" s="8">
        <f t="shared" si="1"/>
        <v>6173.58</v>
      </c>
      <c r="J21" s="8">
        <f t="shared" si="2"/>
        <v>35571.58</v>
      </c>
      <c r="K21" s="4" t="s">
        <v>40</v>
      </c>
    </row>
    <row r="22" ht="15.75" customHeight="1">
      <c r="A22" s="6">
        <v>46168.0</v>
      </c>
      <c r="B22" s="4" t="s">
        <v>160</v>
      </c>
      <c r="C22" s="4" t="s">
        <v>161</v>
      </c>
      <c r="D22" s="4" t="s">
        <v>37</v>
      </c>
      <c r="E22" s="4" t="s">
        <v>162</v>
      </c>
      <c r="F22" s="4" t="s">
        <v>163</v>
      </c>
      <c r="G22" s="8">
        <v>21931.0</v>
      </c>
      <c r="H22" s="9">
        <v>0.21</v>
      </c>
      <c r="I22" s="8">
        <f t="shared" si="1"/>
        <v>4605.51</v>
      </c>
      <c r="J22" s="8">
        <f t="shared" si="2"/>
        <v>26536.51</v>
      </c>
      <c r="K22" s="4" t="s">
        <v>36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2" width="16.0"/>
    <col customWidth="1" min="3" max="3" width="11.25"/>
    <col customWidth="1" min="4" max="6" width="27.0"/>
    <col customWidth="1" min="7" max="7" width="6.75"/>
    <col customWidth="1" min="8" max="8" width="9.88"/>
    <col customWidth="1" min="9" max="9" width="9.0"/>
    <col customWidth="1" min="10" max="10" width="8.5"/>
    <col customWidth="1" min="11" max="11" width="9.38"/>
    <col customWidth="1" min="12" max="12" width="19.0"/>
    <col customWidth="1" min="13" max="26" width="8.63"/>
  </cols>
  <sheetData>
    <row r="1" ht="30.0" customHeight="1">
      <c r="A1" s="1" t="s">
        <v>384</v>
      </c>
    </row>
    <row r="2">
      <c r="A2" s="2" t="s">
        <v>4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31.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15</v>
      </c>
      <c r="K4" s="5" t="s">
        <v>16</v>
      </c>
      <c r="L4" s="5" t="s">
        <v>17</v>
      </c>
    </row>
    <row r="5">
      <c r="A5" s="6">
        <v>46174.0</v>
      </c>
      <c r="B5" s="4" t="s">
        <v>18</v>
      </c>
      <c r="C5" s="4" t="s">
        <v>388</v>
      </c>
      <c r="D5" s="4" t="s">
        <v>56</v>
      </c>
      <c r="E5" s="4" t="s">
        <v>390</v>
      </c>
      <c r="F5" s="4" t="s">
        <v>22</v>
      </c>
      <c r="G5" s="7">
        <v>1.0</v>
      </c>
      <c r="H5" s="8">
        <v>131842.0</v>
      </c>
      <c r="I5" s="9">
        <v>0.21</v>
      </c>
      <c r="J5" s="8">
        <f t="shared" ref="J5:J58" si="1">ROUND(H5*I5,2)</f>
        <v>27686.82</v>
      </c>
      <c r="K5" s="8">
        <f t="shared" ref="K5:K58" si="2">ROUND(H5+J5,2)</f>
        <v>159528.82</v>
      </c>
      <c r="L5" s="4" t="s">
        <v>40</v>
      </c>
    </row>
    <row r="6">
      <c r="A6" s="6">
        <v>46175.0</v>
      </c>
      <c r="B6" s="4" t="s">
        <v>37</v>
      </c>
      <c r="C6" s="4" t="s">
        <v>397</v>
      </c>
      <c r="D6" s="4" t="s">
        <v>20</v>
      </c>
      <c r="E6" s="4"/>
      <c r="F6" s="4" t="s">
        <v>39</v>
      </c>
      <c r="G6" s="7">
        <v>2.0</v>
      </c>
      <c r="H6" s="8">
        <v>54787.0</v>
      </c>
      <c r="I6" s="9">
        <v>0.21</v>
      </c>
      <c r="J6" s="8">
        <f t="shared" si="1"/>
        <v>11505.27</v>
      </c>
      <c r="K6" s="8">
        <f t="shared" si="2"/>
        <v>66292.27</v>
      </c>
      <c r="L6" s="4" t="s">
        <v>47</v>
      </c>
    </row>
    <row r="7">
      <c r="A7" s="6">
        <v>46176.0</v>
      </c>
      <c r="B7" s="4" t="s">
        <v>37</v>
      </c>
      <c r="C7" s="4" t="s">
        <v>399</v>
      </c>
      <c r="D7" s="4" t="s">
        <v>42</v>
      </c>
      <c r="E7" s="4"/>
      <c r="F7" s="4" t="s">
        <v>46</v>
      </c>
      <c r="G7" s="7">
        <v>3.0</v>
      </c>
      <c r="H7" s="8">
        <v>67733.0</v>
      </c>
      <c r="I7" s="9">
        <v>0.21</v>
      </c>
      <c r="J7" s="8">
        <f t="shared" si="1"/>
        <v>14223.93</v>
      </c>
      <c r="K7" s="8">
        <f t="shared" si="2"/>
        <v>81956.93</v>
      </c>
      <c r="L7" s="4" t="s">
        <v>36</v>
      </c>
    </row>
    <row r="8">
      <c r="A8" s="6">
        <v>46177.0</v>
      </c>
      <c r="B8" s="4" t="s">
        <v>37</v>
      </c>
      <c r="C8" s="4" t="s">
        <v>402</v>
      </c>
      <c r="D8" s="4" t="s">
        <v>20</v>
      </c>
      <c r="E8" s="4"/>
      <c r="F8" s="4" t="s">
        <v>25</v>
      </c>
      <c r="G8" s="7">
        <v>4.0</v>
      </c>
      <c r="H8" s="8">
        <v>80679.0</v>
      </c>
      <c r="I8" s="9">
        <v>0.21</v>
      </c>
      <c r="J8" s="8">
        <f t="shared" si="1"/>
        <v>16942.59</v>
      </c>
      <c r="K8" s="8">
        <f t="shared" si="2"/>
        <v>97621.59</v>
      </c>
      <c r="L8" s="4" t="s">
        <v>43</v>
      </c>
    </row>
    <row r="9">
      <c r="A9" s="6">
        <v>46178.0</v>
      </c>
      <c r="B9" s="4" t="s">
        <v>37</v>
      </c>
      <c r="C9" s="4" t="s">
        <v>404</v>
      </c>
      <c r="D9" s="4" t="s">
        <v>54</v>
      </c>
      <c r="E9" s="4"/>
      <c r="F9" s="4" t="s">
        <v>22</v>
      </c>
      <c r="G9" s="7">
        <v>5.0</v>
      </c>
      <c r="H9" s="8">
        <v>93625.0</v>
      </c>
      <c r="I9" s="9">
        <v>0.21</v>
      </c>
      <c r="J9" s="8">
        <f t="shared" si="1"/>
        <v>19661.25</v>
      </c>
      <c r="K9" s="8">
        <f t="shared" si="2"/>
        <v>113286.25</v>
      </c>
      <c r="L9" s="4" t="s">
        <v>49</v>
      </c>
    </row>
    <row r="10">
      <c r="A10" s="6">
        <v>46179.0</v>
      </c>
      <c r="B10" s="4" t="s">
        <v>37</v>
      </c>
      <c r="C10" s="4" t="s">
        <v>406</v>
      </c>
      <c r="D10" s="4" t="s">
        <v>58</v>
      </c>
      <c r="E10" s="4"/>
      <c r="F10" s="4" t="s">
        <v>39</v>
      </c>
      <c r="G10" s="7">
        <v>6.0</v>
      </c>
      <c r="H10" s="8">
        <v>106571.0</v>
      </c>
      <c r="I10" s="9">
        <v>0.21</v>
      </c>
      <c r="J10" s="8">
        <f t="shared" si="1"/>
        <v>22379.91</v>
      </c>
      <c r="K10" s="8">
        <f t="shared" si="2"/>
        <v>128950.91</v>
      </c>
      <c r="L10" s="4" t="s">
        <v>40</v>
      </c>
    </row>
    <row r="11">
      <c r="A11" s="6">
        <v>46180.0</v>
      </c>
      <c r="B11" s="4" t="s">
        <v>37</v>
      </c>
      <c r="C11" s="4" t="s">
        <v>408</v>
      </c>
      <c r="D11" s="4" t="s">
        <v>20</v>
      </c>
      <c r="E11" s="4"/>
      <c r="F11" s="4" t="s">
        <v>46</v>
      </c>
      <c r="G11" s="7">
        <v>1.0</v>
      </c>
      <c r="H11" s="8">
        <v>119517.0</v>
      </c>
      <c r="I11" s="9">
        <v>0.21</v>
      </c>
      <c r="J11" s="8">
        <f t="shared" si="1"/>
        <v>25098.57</v>
      </c>
      <c r="K11" s="8">
        <f t="shared" si="2"/>
        <v>144615.57</v>
      </c>
      <c r="L11" s="4" t="s">
        <v>47</v>
      </c>
    </row>
    <row r="12">
      <c r="A12" s="6">
        <v>46181.0</v>
      </c>
      <c r="B12" s="4" t="s">
        <v>37</v>
      </c>
      <c r="C12" s="4" t="s">
        <v>410</v>
      </c>
      <c r="D12" s="4" t="s">
        <v>20</v>
      </c>
      <c r="E12" s="4"/>
      <c r="F12" s="4" t="s">
        <v>25</v>
      </c>
      <c r="G12" s="7">
        <v>2.0</v>
      </c>
      <c r="H12" s="8">
        <v>42462.0</v>
      </c>
      <c r="I12" s="9">
        <v>0.21</v>
      </c>
      <c r="J12" s="8">
        <f t="shared" si="1"/>
        <v>8917.02</v>
      </c>
      <c r="K12" s="8">
        <f t="shared" si="2"/>
        <v>51379.02</v>
      </c>
      <c r="L12" s="4" t="s">
        <v>36</v>
      </c>
    </row>
    <row r="13">
      <c r="A13" s="6">
        <v>46182.0</v>
      </c>
      <c r="B13" s="4" t="s">
        <v>37</v>
      </c>
      <c r="C13" s="4" t="s">
        <v>412</v>
      </c>
      <c r="D13" s="4" t="s">
        <v>20</v>
      </c>
      <c r="E13" s="4"/>
      <c r="F13" s="4" t="s">
        <v>22</v>
      </c>
      <c r="G13" s="7">
        <v>3.0</v>
      </c>
      <c r="H13" s="8">
        <v>55408.0</v>
      </c>
      <c r="I13" s="9">
        <v>0.21</v>
      </c>
      <c r="J13" s="8">
        <f t="shared" si="1"/>
        <v>11635.68</v>
      </c>
      <c r="K13" s="8">
        <f t="shared" si="2"/>
        <v>67043.68</v>
      </c>
      <c r="L13" s="4" t="s">
        <v>43</v>
      </c>
    </row>
    <row r="14">
      <c r="A14" s="6">
        <v>46183.0</v>
      </c>
      <c r="B14" s="4" t="s">
        <v>37</v>
      </c>
      <c r="C14" s="4" t="s">
        <v>414</v>
      </c>
      <c r="D14" s="4" t="s">
        <v>20</v>
      </c>
      <c r="E14" s="4"/>
      <c r="F14" s="4" t="s">
        <v>39</v>
      </c>
      <c r="G14" s="7">
        <v>4.0</v>
      </c>
      <c r="H14" s="8">
        <v>68354.0</v>
      </c>
      <c r="I14" s="9">
        <v>0.21</v>
      </c>
      <c r="J14" s="8">
        <f t="shared" si="1"/>
        <v>14354.34</v>
      </c>
      <c r="K14" s="8">
        <f t="shared" si="2"/>
        <v>82708.34</v>
      </c>
      <c r="L14" s="4" t="s">
        <v>49</v>
      </c>
    </row>
    <row r="15">
      <c r="A15" s="6">
        <v>46184.0</v>
      </c>
      <c r="B15" s="4" t="s">
        <v>18</v>
      </c>
      <c r="C15" s="4" t="s">
        <v>417</v>
      </c>
      <c r="D15" s="4" t="s">
        <v>45</v>
      </c>
      <c r="E15" s="4" t="s">
        <v>418</v>
      </c>
      <c r="F15" s="4" t="s">
        <v>46</v>
      </c>
      <c r="G15" s="7">
        <v>5.0</v>
      </c>
      <c r="H15" s="8">
        <v>81300.0</v>
      </c>
      <c r="I15" s="9">
        <v>0.21</v>
      </c>
      <c r="J15" s="8">
        <f t="shared" si="1"/>
        <v>17073</v>
      </c>
      <c r="K15" s="8">
        <f t="shared" si="2"/>
        <v>98373</v>
      </c>
      <c r="L15" s="4" t="s">
        <v>40</v>
      </c>
    </row>
    <row r="16">
      <c r="A16" s="6">
        <v>46185.0</v>
      </c>
      <c r="B16" s="4" t="s">
        <v>37</v>
      </c>
      <c r="C16" s="4" t="s">
        <v>420</v>
      </c>
      <c r="D16" s="4" t="s">
        <v>20</v>
      </c>
      <c r="E16" s="4"/>
      <c r="F16" s="4" t="s">
        <v>25</v>
      </c>
      <c r="G16" s="7">
        <v>6.0</v>
      </c>
      <c r="H16" s="8">
        <v>94246.0</v>
      </c>
      <c r="I16" s="9">
        <v>0.21</v>
      </c>
      <c r="J16" s="8">
        <f t="shared" si="1"/>
        <v>19791.66</v>
      </c>
      <c r="K16" s="8">
        <f t="shared" si="2"/>
        <v>114037.66</v>
      </c>
      <c r="L16" s="4" t="s">
        <v>47</v>
      </c>
    </row>
    <row r="17">
      <c r="A17" s="6">
        <v>46186.0</v>
      </c>
      <c r="B17" s="4" t="s">
        <v>37</v>
      </c>
      <c r="C17" s="4" t="s">
        <v>422</v>
      </c>
      <c r="D17" s="4" t="s">
        <v>56</v>
      </c>
      <c r="E17" s="4"/>
      <c r="F17" s="4" t="s">
        <v>22</v>
      </c>
      <c r="G17" s="7">
        <v>1.0</v>
      </c>
      <c r="H17" s="8">
        <v>107192.0</v>
      </c>
      <c r="I17" s="9">
        <v>0.21</v>
      </c>
      <c r="J17" s="8">
        <f t="shared" si="1"/>
        <v>22510.32</v>
      </c>
      <c r="K17" s="8">
        <f t="shared" si="2"/>
        <v>129702.32</v>
      </c>
      <c r="L17" s="4" t="s">
        <v>36</v>
      </c>
    </row>
    <row r="18">
      <c r="A18" s="6">
        <v>46187.0</v>
      </c>
      <c r="B18" s="4" t="s">
        <v>37</v>
      </c>
      <c r="C18" s="4" t="s">
        <v>424</v>
      </c>
      <c r="D18" s="4" t="s">
        <v>20</v>
      </c>
      <c r="E18" s="4"/>
      <c r="F18" s="4" t="s">
        <v>39</v>
      </c>
      <c r="G18" s="7">
        <v>2.0</v>
      </c>
      <c r="H18" s="8">
        <v>120138.0</v>
      </c>
      <c r="I18" s="9">
        <v>0.21</v>
      </c>
      <c r="J18" s="8">
        <f t="shared" si="1"/>
        <v>25228.98</v>
      </c>
      <c r="K18" s="8">
        <f t="shared" si="2"/>
        <v>145366.98</v>
      </c>
      <c r="L18" s="4" t="s">
        <v>43</v>
      </c>
    </row>
    <row r="19">
      <c r="A19" s="6">
        <v>46188.0</v>
      </c>
      <c r="B19" s="4" t="s">
        <v>37</v>
      </c>
      <c r="C19" s="4" t="s">
        <v>425</v>
      </c>
      <c r="D19" s="4" t="s">
        <v>42</v>
      </c>
      <c r="E19" s="4"/>
      <c r="F19" s="4" t="s">
        <v>46</v>
      </c>
      <c r="G19" s="7">
        <v>3.0</v>
      </c>
      <c r="H19" s="8">
        <v>43083.0</v>
      </c>
      <c r="I19" s="9">
        <v>0.21</v>
      </c>
      <c r="J19" s="8">
        <f t="shared" si="1"/>
        <v>9047.43</v>
      </c>
      <c r="K19" s="8">
        <f t="shared" si="2"/>
        <v>52130.43</v>
      </c>
      <c r="L19" s="4" t="s">
        <v>49</v>
      </c>
    </row>
    <row r="20">
      <c r="A20" s="6">
        <v>46189.0</v>
      </c>
      <c r="B20" s="4" t="s">
        <v>37</v>
      </c>
      <c r="C20" s="4" t="s">
        <v>426</v>
      </c>
      <c r="D20" s="4" t="s">
        <v>20</v>
      </c>
      <c r="E20" s="4"/>
      <c r="F20" s="4" t="s">
        <v>25</v>
      </c>
      <c r="G20" s="7">
        <v>4.0</v>
      </c>
      <c r="H20" s="8">
        <v>56029.0</v>
      </c>
      <c r="I20" s="9">
        <v>0.21</v>
      </c>
      <c r="J20" s="8">
        <f t="shared" si="1"/>
        <v>11766.09</v>
      </c>
      <c r="K20" s="8">
        <f t="shared" si="2"/>
        <v>67795.09</v>
      </c>
      <c r="L20" s="4" t="s">
        <v>40</v>
      </c>
    </row>
    <row r="21" ht="15.75" customHeight="1">
      <c r="A21" s="6">
        <v>46190.0</v>
      </c>
      <c r="B21" s="4" t="s">
        <v>37</v>
      </c>
      <c r="C21" s="4" t="s">
        <v>427</v>
      </c>
      <c r="D21" s="4" t="s">
        <v>54</v>
      </c>
      <c r="E21" s="4"/>
      <c r="F21" s="4" t="s">
        <v>22</v>
      </c>
      <c r="G21" s="7">
        <v>5.0</v>
      </c>
      <c r="H21" s="8">
        <v>68975.0</v>
      </c>
      <c r="I21" s="9">
        <v>0.21</v>
      </c>
      <c r="J21" s="8">
        <f t="shared" si="1"/>
        <v>14484.75</v>
      </c>
      <c r="K21" s="8">
        <f t="shared" si="2"/>
        <v>83459.75</v>
      </c>
      <c r="L21" s="4" t="s">
        <v>47</v>
      </c>
    </row>
    <row r="22" ht="15.75" customHeight="1">
      <c r="A22" s="6">
        <v>46191.0</v>
      </c>
      <c r="B22" s="4" t="s">
        <v>37</v>
      </c>
      <c r="C22" s="4" t="s">
        <v>428</v>
      </c>
      <c r="D22" s="4" t="s">
        <v>58</v>
      </c>
      <c r="E22" s="4"/>
      <c r="F22" s="4" t="s">
        <v>39</v>
      </c>
      <c r="G22" s="7">
        <v>6.0</v>
      </c>
      <c r="H22" s="8">
        <v>81921.0</v>
      </c>
      <c r="I22" s="9">
        <v>0.21</v>
      </c>
      <c r="J22" s="8">
        <f t="shared" si="1"/>
        <v>17203.41</v>
      </c>
      <c r="K22" s="8">
        <f t="shared" si="2"/>
        <v>99124.41</v>
      </c>
      <c r="L22" s="4" t="s">
        <v>36</v>
      </c>
    </row>
    <row r="23" ht="15.75" customHeight="1">
      <c r="A23" s="6">
        <v>46192.0</v>
      </c>
      <c r="B23" s="4" t="s">
        <v>37</v>
      </c>
      <c r="C23" s="4" t="s">
        <v>429</v>
      </c>
      <c r="D23" s="4" t="s">
        <v>20</v>
      </c>
      <c r="E23" s="4"/>
      <c r="F23" s="4" t="s">
        <v>46</v>
      </c>
      <c r="G23" s="7">
        <v>1.0</v>
      </c>
      <c r="H23" s="8">
        <v>94867.0</v>
      </c>
      <c r="I23" s="9">
        <v>0.21</v>
      </c>
      <c r="J23" s="8">
        <f t="shared" si="1"/>
        <v>19922.07</v>
      </c>
      <c r="K23" s="8">
        <f t="shared" si="2"/>
        <v>114789.07</v>
      </c>
      <c r="L23" s="4" t="s">
        <v>43</v>
      </c>
    </row>
    <row r="24" ht="15.75" customHeight="1">
      <c r="A24" s="6">
        <v>46193.0</v>
      </c>
      <c r="B24" s="4" t="s">
        <v>37</v>
      </c>
      <c r="C24" s="4" t="s">
        <v>430</v>
      </c>
      <c r="D24" s="4" t="s">
        <v>20</v>
      </c>
      <c r="E24" s="4"/>
      <c r="F24" s="4" t="s">
        <v>25</v>
      </c>
      <c r="G24" s="7">
        <v>2.0</v>
      </c>
      <c r="H24" s="8">
        <v>107813.0</v>
      </c>
      <c r="I24" s="9">
        <v>0.21</v>
      </c>
      <c r="J24" s="8">
        <f t="shared" si="1"/>
        <v>22640.73</v>
      </c>
      <c r="K24" s="8">
        <f t="shared" si="2"/>
        <v>130453.73</v>
      </c>
      <c r="L24" s="4" t="s">
        <v>49</v>
      </c>
    </row>
    <row r="25" ht="15.75" customHeight="1">
      <c r="A25" s="6">
        <v>46194.0</v>
      </c>
      <c r="B25" s="4" t="s">
        <v>18</v>
      </c>
      <c r="C25" s="4" t="s">
        <v>431</v>
      </c>
      <c r="D25" s="4" t="s">
        <v>20</v>
      </c>
      <c r="E25" s="4" t="s">
        <v>432</v>
      </c>
      <c r="F25" s="4" t="s">
        <v>22</v>
      </c>
      <c r="G25" s="7">
        <v>3.0</v>
      </c>
      <c r="H25" s="8">
        <v>120759.0</v>
      </c>
      <c r="I25" s="9">
        <v>0.21</v>
      </c>
      <c r="J25" s="8">
        <f t="shared" si="1"/>
        <v>25359.39</v>
      </c>
      <c r="K25" s="8">
        <f t="shared" si="2"/>
        <v>146118.39</v>
      </c>
      <c r="L25" s="4" t="s">
        <v>40</v>
      </c>
    </row>
    <row r="26" ht="15.75" customHeight="1">
      <c r="A26" s="6">
        <v>46195.0</v>
      </c>
      <c r="B26" s="4" t="s">
        <v>37</v>
      </c>
      <c r="C26" s="4" t="s">
        <v>433</v>
      </c>
      <c r="D26" s="4" t="s">
        <v>20</v>
      </c>
      <c r="E26" s="4"/>
      <c r="F26" s="4" t="s">
        <v>39</v>
      </c>
      <c r="G26" s="7">
        <v>4.0</v>
      </c>
      <c r="H26" s="8">
        <v>43704.0</v>
      </c>
      <c r="I26" s="9">
        <v>0.21</v>
      </c>
      <c r="J26" s="8">
        <f t="shared" si="1"/>
        <v>9177.84</v>
      </c>
      <c r="K26" s="8">
        <f t="shared" si="2"/>
        <v>52881.84</v>
      </c>
      <c r="L26" s="4" t="s">
        <v>47</v>
      </c>
    </row>
    <row r="27" ht="15.75" customHeight="1">
      <c r="A27" s="6">
        <v>46196.0</v>
      </c>
      <c r="B27" s="4" t="s">
        <v>37</v>
      </c>
      <c r="C27" s="4" t="s">
        <v>434</v>
      </c>
      <c r="D27" s="4" t="s">
        <v>45</v>
      </c>
      <c r="E27" s="4"/>
      <c r="F27" s="4" t="s">
        <v>46</v>
      </c>
      <c r="G27" s="7">
        <v>5.0</v>
      </c>
      <c r="H27" s="8">
        <v>56650.0</v>
      </c>
      <c r="I27" s="9">
        <v>0.21</v>
      </c>
      <c r="J27" s="8">
        <f t="shared" si="1"/>
        <v>11896.5</v>
      </c>
      <c r="K27" s="8">
        <f t="shared" si="2"/>
        <v>68546.5</v>
      </c>
      <c r="L27" s="4" t="s">
        <v>36</v>
      </c>
    </row>
    <row r="28" ht="15.75" customHeight="1">
      <c r="A28" s="6">
        <v>46197.0</v>
      </c>
      <c r="B28" s="4" t="s">
        <v>37</v>
      </c>
      <c r="C28" s="4" t="s">
        <v>435</v>
      </c>
      <c r="D28" s="4" t="s">
        <v>20</v>
      </c>
      <c r="E28" s="4"/>
      <c r="F28" s="4" t="s">
        <v>25</v>
      </c>
      <c r="G28" s="7">
        <v>6.0</v>
      </c>
      <c r="H28" s="8">
        <v>69596.0</v>
      </c>
      <c r="I28" s="9">
        <v>0.21</v>
      </c>
      <c r="J28" s="8">
        <f t="shared" si="1"/>
        <v>14615.16</v>
      </c>
      <c r="K28" s="8">
        <f t="shared" si="2"/>
        <v>84211.16</v>
      </c>
      <c r="L28" s="4" t="s">
        <v>43</v>
      </c>
    </row>
    <row r="29" ht="15.75" customHeight="1">
      <c r="A29" s="6">
        <v>46198.0</v>
      </c>
      <c r="B29" s="4" t="s">
        <v>37</v>
      </c>
      <c r="C29" s="4" t="s">
        <v>436</v>
      </c>
      <c r="D29" s="4" t="s">
        <v>56</v>
      </c>
      <c r="E29" s="4"/>
      <c r="F29" s="4" t="s">
        <v>22</v>
      </c>
      <c r="G29" s="7">
        <v>1.0</v>
      </c>
      <c r="H29" s="8">
        <v>82542.0</v>
      </c>
      <c r="I29" s="9">
        <v>0.21</v>
      </c>
      <c r="J29" s="8">
        <f t="shared" si="1"/>
        <v>17333.82</v>
      </c>
      <c r="K29" s="8">
        <f t="shared" si="2"/>
        <v>99875.82</v>
      </c>
      <c r="L29" s="4" t="s">
        <v>49</v>
      </c>
    </row>
    <row r="30" ht="15.75" customHeight="1">
      <c r="A30" s="6">
        <v>46199.0</v>
      </c>
      <c r="B30" s="4" t="s">
        <v>37</v>
      </c>
      <c r="C30" s="4" t="s">
        <v>437</v>
      </c>
      <c r="D30" s="4" t="s">
        <v>20</v>
      </c>
      <c r="E30" s="4"/>
      <c r="F30" s="4" t="s">
        <v>39</v>
      </c>
      <c r="G30" s="7">
        <v>2.0</v>
      </c>
      <c r="H30" s="8">
        <v>95488.0</v>
      </c>
      <c r="I30" s="9">
        <v>0.21</v>
      </c>
      <c r="J30" s="8">
        <f t="shared" si="1"/>
        <v>20052.48</v>
      </c>
      <c r="K30" s="8">
        <f t="shared" si="2"/>
        <v>115540.48</v>
      </c>
      <c r="L30" s="4" t="s">
        <v>40</v>
      </c>
    </row>
    <row r="31" ht="15.75" customHeight="1">
      <c r="A31" s="6">
        <v>46200.0</v>
      </c>
      <c r="B31" s="4" t="s">
        <v>37</v>
      </c>
      <c r="C31" s="4" t="s">
        <v>438</v>
      </c>
      <c r="D31" s="4" t="s">
        <v>42</v>
      </c>
      <c r="E31" s="4"/>
      <c r="F31" s="4" t="s">
        <v>46</v>
      </c>
      <c r="G31" s="7">
        <v>3.0</v>
      </c>
      <c r="H31" s="8">
        <v>108434.0</v>
      </c>
      <c r="I31" s="9">
        <v>0.21</v>
      </c>
      <c r="J31" s="8">
        <f t="shared" si="1"/>
        <v>22771.14</v>
      </c>
      <c r="K31" s="8">
        <f t="shared" si="2"/>
        <v>131205.14</v>
      </c>
      <c r="L31" s="4" t="s">
        <v>47</v>
      </c>
    </row>
    <row r="32" ht="15.75" customHeight="1">
      <c r="A32" s="6">
        <v>46201.0</v>
      </c>
      <c r="B32" s="4" t="s">
        <v>37</v>
      </c>
      <c r="C32" s="4" t="s">
        <v>439</v>
      </c>
      <c r="D32" s="4" t="s">
        <v>20</v>
      </c>
      <c r="E32" s="4"/>
      <c r="F32" s="4" t="s">
        <v>25</v>
      </c>
      <c r="G32" s="7">
        <v>4.0</v>
      </c>
      <c r="H32" s="8">
        <v>121380.0</v>
      </c>
      <c r="I32" s="9">
        <v>0.21</v>
      </c>
      <c r="J32" s="8">
        <f t="shared" si="1"/>
        <v>25489.8</v>
      </c>
      <c r="K32" s="8">
        <f t="shared" si="2"/>
        <v>146869.8</v>
      </c>
      <c r="L32" s="4" t="s">
        <v>36</v>
      </c>
    </row>
    <row r="33" ht="15.75" customHeight="1">
      <c r="A33" s="6">
        <v>46174.0</v>
      </c>
      <c r="B33" s="4" t="s">
        <v>37</v>
      </c>
      <c r="C33" s="4" t="s">
        <v>440</v>
      </c>
      <c r="D33" s="4" t="s">
        <v>54</v>
      </c>
      <c r="E33" s="4"/>
      <c r="F33" s="4" t="s">
        <v>22</v>
      </c>
      <c r="G33" s="7">
        <v>5.0</v>
      </c>
      <c r="H33" s="8">
        <v>44325.0</v>
      </c>
      <c r="I33" s="9">
        <v>0.21</v>
      </c>
      <c r="J33" s="8">
        <f t="shared" si="1"/>
        <v>9308.25</v>
      </c>
      <c r="K33" s="8">
        <f t="shared" si="2"/>
        <v>53633.25</v>
      </c>
      <c r="L33" s="4" t="s">
        <v>43</v>
      </c>
    </row>
    <row r="34" ht="15.75" customHeight="1">
      <c r="A34" s="6">
        <v>46175.0</v>
      </c>
      <c r="B34" s="4" t="s">
        <v>37</v>
      </c>
      <c r="C34" s="4" t="s">
        <v>441</v>
      </c>
      <c r="D34" s="4" t="s">
        <v>58</v>
      </c>
      <c r="E34" s="4"/>
      <c r="F34" s="4" t="s">
        <v>39</v>
      </c>
      <c r="G34" s="7">
        <v>6.0</v>
      </c>
      <c r="H34" s="8">
        <v>57271.0</v>
      </c>
      <c r="I34" s="9">
        <v>0.21</v>
      </c>
      <c r="J34" s="8">
        <f t="shared" si="1"/>
        <v>12026.91</v>
      </c>
      <c r="K34" s="8">
        <f t="shared" si="2"/>
        <v>69297.91</v>
      </c>
      <c r="L34" s="4" t="s">
        <v>49</v>
      </c>
    </row>
    <row r="35" ht="15.75" customHeight="1">
      <c r="A35" s="6">
        <v>46176.0</v>
      </c>
      <c r="B35" s="4" t="s">
        <v>18</v>
      </c>
      <c r="C35" s="4" t="s">
        <v>442</v>
      </c>
      <c r="D35" s="4" t="s">
        <v>20</v>
      </c>
      <c r="E35" s="4" t="s">
        <v>443</v>
      </c>
      <c r="F35" s="4" t="s">
        <v>46</v>
      </c>
      <c r="G35" s="7">
        <v>1.0</v>
      </c>
      <c r="H35" s="8">
        <v>70217.0</v>
      </c>
      <c r="I35" s="9">
        <v>0.21</v>
      </c>
      <c r="J35" s="8">
        <f t="shared" si="1"/>
        <v>14745.57</v>
      </c>
      <c r="K35" s="8">
        <f t="shared" si="2"/>
        <v>84962.57</v>
      </c>
      <c r="L35" s="4" t="s">
        <v>40</v>
      </c>
    </row>
    <row r="36" ht="15.75" customHeight="1">
      <c r="A36" s="6">
        <v>46177.0</v>
      </c>
      <c r="B36" s="4" t="s">
        <v>37</v>
      </c>
      <c r="C36" s="4" t="s">
        <v>444</v>
      </c>
      <c r="D36" s="4" t="s">
        <v>20</v>
      </c>
      <c r="E36" s="4"/>
      <c r="F36" s="4" t="s">
        <v>25</v>
      </c>
      <c r="G36" s="7">
        <v>2.0</v>
      </c>
      <c r="H36" s="8">
        <v>83163.0</v>
      </c>
      <c r="I36" s="9">
        <v>0.21</v>
      </c>
      <c r="J36" s="8">
        <f t="shared" si="1"/>
        <v>17464.23</v>
      </c>
      <c r="K36" s="8">
        <f t="shared" si="2"/>
        <v>100627.23</v>
      </c>
      <c r="L36" s="4" t="s">
        <v>47</v>
      </c>
    </row>
    <row r="37" ht="15.75" customHeight="1">
      <c r="A37" s="6">
        <v>46178.0</v>
      </c>
      <c r="B37" s="4" t="s">
        <v>37</v>
      </c>
      <c r="C37" s="4" t="s">
        <v>445</v>
      </c>
      <c r="D37" s="4" t="s">
        <v>20</v>
      </c>
      <c r="E37" s="4"/>
      <c r="F37" s="4" t="s">
        <v>22</v>
      </c>
      <c r="G37" s="7">
        <v>3.0</v>
      </c>
      <c r="H37" s="8">
        <v>96109.0</v>
      </c>
      <c r="I37" s="9">
        <v>0.21</v>
      </c>
      <c r="J37" s="8">
        <f t="shared" si="1"/>
        <v>20182.89</v>
      </c>
      <c r="K37" s="8">
        <f t="shared" si="2"/>
        <v>116291.89</v>
      </c>
      <c r="L37" s="4" t="s">
        <v>36</v>
      </c>
    </row>
    <row r="38" ht="15.75" customHeight="1">
      <c r="A38" s="6">
        <v>46179.0</v>
      </c>
      <c r="B38" s="4" t="s">
        <v>37</v>
      </c>
      <c r="C38" s="4" t="s">
        <v>446</v>
      </c>
      <c r="D38" s="4" t="s">
        <v>20</v>
      </c>
      <c r="E38" s="4"/>
      <c r="F38" s="4" t="s">
        <v>39</v>
      </c>
      <c r="G38" s="7">
        <v>4.0</v>
      </c>
      <c r="H38" s="8">
        <v>109055.0</v>
      </c>
      <c r="I38" s="9">
        <v>0.21</v>
      </c>
      <c r="J38" s="8">
        <f t="shared" si="1"/>
        <v>22901.55</v>
      </c>
      <c r="K38" s="8">
        <f t="shared" si="2"/>
        <v>131956.55</v>
      </c>
      <c r="L38" s="4" t="s">
        <v>43</v>
      </c>
    </row>
    <row r="39" ht="15.75" customHeight="1">
      <c r="A39" s="6">
        <v>46180.0</v>
      </c>
      <c r="B39" s="4" t="s">
        <v>37</v>
      </c>
      <c r="C39" s="4" t="s">
        <v>447</v>
      </c>
      <c r="D39" s="4" t="s">
        <v>45</v>
      </c>
      <c r="E39" s="4"/>
      <c r="F39" s="4" t="s">
        <v>46</v>
      </c>
      <c r="G39" s="7">
        <v>5.0</v>
      </c>
      <c r="H39" s="8">
        <v>122001.0</v>
      </c>
      <c r="I39" s="9">
        <v>0.21</v>
      </c>
      <c r="J39" s="8">
        <f t="shared" si="1"/>
        <v>25620.21</v>
      </c>
      <c r="K39" s="8">
        <f t="shared" si="2"/>
        <v>147621.21</v>
      </c>
      <c r="L39" s="4" t="s">
        <v>49</v>
      </c>
    </row>
    <row r="40" ht="15.75" customHeight="1">
      <c r="A40" s="6">
        <v>46181.0</v>
      </c>
      <c r="B40" s="4" t="s">
        <v>37</v>
      </c>
      <c r="C40" s="4" t="s">
        <v>448</v>
      </c>
      <c r="D40" s="4" t="s">
        <v>20</v>
      </c>
      <c r="E40" s="4"/>
      <c r="F40" s="4" t="s">
        <v>25</v>
      </c>
      <c r="G40" s="7">
        <v>6.0</v>
      </c>
      <c r="H40" s="8">
        <v>44946.0</v>
      </c>
      <c r="I40" s="9">
        <v>0.21</v>
      </c>
      <c r="J40" s="8">
        <f t="shared" si="1"/>
        <v>9438.66</v>
      </c>
      <c r="K40" s="8">
        <f t="shared" si="2"/>
        <v>54384.66</v>
      </c>
      <c r="L40" s="4" t="s">
        <v>40</v>
      </c>
    </row>
    <row r="41" ht="15.75" customHeight="1">
      <c r="A41" s="6">
        <v>46182.0</v>
      </c>
      <c r="B41" s="4" t="s">
        <v>37</v>
      </c>
      <c r="C41" s="4" t="s">
        <v>449</v>
      </c>
      <c r="D41" s="4" t="s">
        <v>56</v>
      </c>
      <c r="E41" s="4"/>
      <c r="F41" s="4" t="s">
        <v>22</v>
      </c>
      <c r="G41" s="7">
        <v>1.0</v>
      </c>
      <c r="H41" s="8">
        <v>57892.0</v>
      </c>
      <c r="I41" s="9">
        <v>0.21</v>
      </c>
      <c r="J41" s="8">
        <f t="shared" si="1"/>
        <v>12157.32</v>
      </c>
      <c r="K41" s="8">
        <f t="shared" si="2"/>
        <v>70049.32</v>
      </c>
      <c r="L41" s="4" t="s">
        <v>47</v>
      </c>
    </row>
    <row r="42" ht="15.75" customHeight="1">
      <c r="A42" s="6">
        <v>46183.0</v>
      </c>
      <c r="B42" s="4" t="s">
        <v>37</v>
      </c>
      <c r="C42" s="4" t="s">
        <v>450</v>
      </c>
      <c r="D42" s="4" t="s">
        <v>20</v>
      </c>
      <c r="E42" s="4"/>
      <c r="F42" s="4" t="s">
        <v>39</v>
      </c>
      <c r="G42" s="7">
        <v>2.0</v>
      </c>
      <c r="H42" s="8">
        <v>70838.0</v>
      </c>
      <c r="I42" s="9">
        <v>0.21</v>
      </c>
      <c r="J42" s="8">
        <f t="shared" si="1"/>
        <v>14875.98</v>
      </c>
      <c r="K42" s="8">
        <f t="shared" si="2"/>
        <v>85713.98</v>
      </c>
      <c r="L42" s="4" t="s">
        <v>36</v>
      </c>
    </row>
    <row r="43" ht="15.75" customHeight="1">
      <c r="A43" s="6">
        <v>46184.0</v>
      </c>
      <c r="B43" s="4" t="s">
        <v>37</v>
      </c>
      <c r="C43" s="4" t="s">
        <v>451</v>
      </c>
      <c r="D43" s="4" t="s">
        <v>42</v>
      </c>
      <c r="E43" s="4"/>
      <c r="F43" s="4" t="s">
        <v>46</v>
      </c>
      <c r="G43" s="7">
        <v>3.0</v>
      </c>
      <c r="H43" s="8">
        <v>83784.0</v>
      </c>
      <c r="I43" s="9">
        <v>0.21</v>
      </c>
      <c r="J43" s="8">
        <f t="shared" si="1"/>
        <v>17594.64</v>
      </c>
      <c r="K43" s="8">
        <f t="shared" si="2"/>
        <v>101378.64</v>
      </c>
      <c r="L43" s="4" t="s">
        <v>43</v>
      </c>
    </row>
    <row r="44" ht="15.75" customHeight="1">
      <c r="A44" s="6">
        <v>46185.0</v>
      </c>
      <c r="B44" s="4" t="s">
        <v>37</v>
      </c>
      <c r="C44" s="4" t="s">
        <v>452</v>
      </c>
      <c r="D44" s="4" t="s">
        <v>20</v>
      </c>
      <c r="E44" s="4"/>
      <c r="F44" s="4" t="s">
        <v>25</v>
      </c>
      <c r="G44" s="7">
        <v>4.0</v>
      </c>
      <c r="H44" s="8">
        <v>96730.0</v>
      </c>
      <c r="I44" s="9">
        <v>0.21</v>
      </c>
      <c r="J44" s="8">
        <f t="shared" si="1"/>
        <v>20313.3</v>
      </c>
      <c r="K44" s="8">
        <f t="shared" si="2"/>
        <v>117043.3</v>
      </c>
      <c r="L44" s="4" t="s">
        <v>49</v>
      </c>
    </row>
    <row r="45" ht="15.75" customHeight="1">
      <c r="A45" s="6">
        <v>46186.0</v>
      </c>
      <c r="B45" s="4" t="s">
        <v>18</v>
      </c>
      <c r="C45" s="4" t="s">
        <v>453</v>
      </c>
      <c r="D45" s="4" t="s">
        <v>54</v>
      </c>
      <c r="E45" s="4" t="s">
        <v>454</v>
      </c>
      <c r="F45" s="4" t="s">
        <v>22</v>
      </c>
      <c r="G45" s="7">
        <v>5.0</v>
      </c>
      <c r="H45" s="8">
        <v>109676.0</v>
      </c>
      <c r="I45" s="9">
        <v>0.21</v>
      </c>
      <c r="J45" s="8">
        <f t="shared" si="1"/>
        <v>23031.96</v>
      </c>
      <c r="K45" s="8">
        <f t="shared" si="2"/>
        <v>132707.96</v>
      </c>
      <c r="L45" s="4" t="s">
        <v>40</v>
      </c>
    </row>
    <row r="46" ht="15.75" customHeight="1">
      <c r="A46" s="6">
        <v>46187.0</v>
      </c>
      <c r="B46" s="4" t="s">
        <v>37</v>
      </c>
      <c r="C46" s="4" t="s">
        <v>455</v>
      </c>
      <c r="D46" s="4" t="s">
        <v>58</v>
      </c>
      <c r="E46" s="4"/>
      <c r="F46" s="4" t="s">
        <v>39</v>
      </c>
      <c r="G46" s="7">
        <v>6.0</v>
      </c>
      <c r="H46" s="8">
        <v>122622.0</v>
      </c>
      <c r="I46" s="9">
        <v>0.21</v>
      </c>
      <c r="J46" s="8">
        <f t="shared" si="1"/>
        <v>25750.62</v>
      </c>
      <c r="K46" s="8">
        <f t="shared" si="2"/>
        <v>148372.62</v>
      </c>
      <c r="L46" s="4" t="s">
        <v>47</v>
      </c>
    </row>
    <row r="47" ht="15.75" customHeight="1">
      <c r="A47" s="6">
        <v>46188.0</v>
      </c>
      <c r="B47" s="4" t="s">
        <v>37</v>
      </c>
      <c r="C47" s="4" t="s">
        <v>456</v>
      </c>
      <c r="D47" s="4" t="s">
        <v>20</v>
      </c>
      <c r="E47" s="4"/>
      <c r="F47" s="4" t="s">
        <v>46</v>
      </c>
      <c r="G47" s="7">
        <v>1.0</v>
      </c>
      <c r="H47" s="8">
        <v>45567.0</v>
      </c>
      <c r="I47" s="9">
        <v>0.21</v>
      </c>
      <c r="J47" s="8">
        <f t="shared" si="1"/>
        <v>9569.07</v>
      </c>
      <c r="K47" s="8">
        <f t="shared" si="2"/>
        <v>55136.07</v>
      </c>
      <c r="L47" s="4" t="s">
        <v>36</v>
      </c>
    </row>
    <row r="48" ht="15.75" customHeight="1">
      <c r="A48" s="6">
        <v>46189.0</v>
      </c>
      <c r="B48" s="4" t="s">
        <v>37</v>
      </c>
      <c r="C48" s="4" t="s">
        <v>457</v>
      </c>
      <c r="D48" s="4" t="s">
        <v>20</v>
      </c>
      <c r="E48" s="4"/>
      <c r="F48" s="4" t="s">
        <v>25</v>
      </c>
      <c r="G48" s="7">
        <v>2.0</v>
      </c>
      <c r="H48" s="8">
        <v>58513.0</v>
      </c>
      <c r="I48" s="9">
        <v>0.21</v>
      </c>
      <c r="J48" s="8">
        <f t="shared" si="1"/>
        <v>12287.73</v>
      </c>
      <c r="K48" s="8">
        <f t="shared" si="2"/>
        <v>70800.73</v>
      </c>
      <c r="L48" s="4" t="s">
        <v>43</v>
      </c>
    </row>
    <row r="49" ht="15.75" customHeight="1">
      <c r="A49" s="6">
        <v>46190.0</v>
      </c>
      <c r="B49" s="4" t="s">
        <v>37</v>
      </c>
      <c r="C49" s="4" t="s">
        <v>458</v>
      </c>
      <c r="D49" s="4" t="s">
        <v>20</v>
      </c>
      <c r="E49" s="4"/>
      <c r="F49" s="4" t="s">
        <v>22</v>
      </c>
      <c r="G49" s="7">
        <v>3.0</v>
      </c>
      <c r="H49" s="8">
        <v>71459.0</v>
      </c>
      <c r="I49" s="9">
        <v>0.21</v>
      </c>
      <c r="J49" s="8">
        <f t="shared" si="1"/>
        <v>15006.39</v>
      </c>
      <c r="K49" s="8">
        <f t="shared" si="2"/>
        <v>86465.39</v>
      </c>
      <c r="L49" s="4" t="s">
        <v>49</v>
      </c>
    </row>
    <row r="50" ht="15.75" customHeight="1">
      <c r="A50" s="6">
        <v>46191.0</v>
      </c>
      <c r="B50" s="4" t="s">
        <v>37</v>
      </c>
      <c r="C50" s="4" t="s">
        <v>459</v>
      </c>
      <c r="D50" s="4" t="s">
        <v>20</v>
      </c>
      <c r="E50" s="4"/>
      <c r="F50" s="4" t="s">
        <v>39</v>
      </c>
      <c r="G50" s="7">
        <v>4.0</v>
      </c>
      <c r="H50" s="8">
        <v>84405.0</v>
      </c>
      <c r="I50" s="9">
        <v>0.21</v>
      </c>
      <c r="J50" s="8">
        <f t="shared" si="1"/>
        <v>17725.05</v>
      </c>
      <c r="K50" s="8">
        <f t="shared" si="2"/>
        <v>102130.05</v>
      </c>
      <c r="L50" s="4" t="s">
        <v>40</v>
      </c>
    </row>
    <row r="51" ht="15.75" customHeight="1">
      <c r="A51" s="6">
        <v>46192.0</v>
      </c>
      <c r="B51" s="4" t="s">
        <v>37</v>
      </c>
      <c r="C51" s="4" t="s">
        <v>460</v>
      </c>
      <c r="D51" s="4" t="s">
        <v>45</v>
      </c>
      <c r="E51" s="4"/>
      <c r="F51" s="4" t="s">
        <v>46</v>
      </c>
      <c r="G51" s="7">
        <v>5.0</v>
      </c>
      <c r="H51" s="8">
        <v>97351.0</v>
      </c>
      <c r="I51" s="9">
        <v>0.21</v>
      </c>
      <c r="J51" s="8">
        <f t="shared" si="1"/>
        <v>20443.71</v>
      </c>
      <c r="K51" s="8">
        <f t="shared" si="2"/>
        <v>117794.71</v>
      </c>
      <c r="L51" s="4" t="s">
        <v>47</v>
      </c>
    </row>
    <row r="52" ht="15.75" customHeight="1">
      <c r="A52" s="6">
        <v>46193.0</v>
      </c>
      <c r="B52" s="4" t="s">
        <v>37</v>
      </c>
      <c r="C52" s="4" t="s">
        <v>461</v>
      </c>
      <c r="D52" s="4" t="s">
        <v>20</v>
      </c>
      <c r="E52" s="4"/>
      <c r="F52" s="4" t="s">
        <v>25</v>
      </c>
      <c r="G52" s="7">
        <v>6.0</v>
      </c>
      <c r="H52" s="8">
        <v>110297.0</v>
      </c>
      <c r="I52" s="9">
        <v>0.21</v>
      </c>
      <c r="J52" s="8">
        <f t="shared" si="1"/>
        <v>23162.37</v>
      </c>
      <c r="K52" s="8">
        <f t="shared" si="2"/>
        <v>133459.37</v>
      </c>
      <c r="L52" s="4" t="s">
        <v>36</v>
      </c>
    </row>
    <row r="53" ht="15.75" customHeight="1">
      <c r="A53" s="6">
        <v>46194.0</v>
      </c>
      <c r="B53" s="4" t="s">
        <v>37</v>
      </c>
      <c r="C53" s="4" t="s">
        <v>462</v>
      </c>
      <c r="D53" s="4" t="s">
        <v>56</v>
      </c>
      <c r="E53" s="4"/>
      <c r="F53" s="4" t="s">
        <v>22</v>
      </c>
      <c r="G53" s="7">
        <v>1.0</v>
      </c>
      <c r="H53" s="8">
        <v>123243.0</v>
      </c>
      <c r="I53" s="9">
        <v>0.21</v>
      </c>
      <c r="J53" s="8">
        <f t="shared" si="1"/>
        <v>25881.03</v>
      </c>
      <c r="K53" s="8">
        <f t="shared" si="2"/>
        <v>149124.03</v>
      </c>
      <c r="L53" s="4" t="s">
        <v>43</v>
      </c>
    </row>
    <row r="54" ht="15.75" customHeight="1">
      <c r="A54" s="6">
        <v>46195.0</v>
      </c>
      <c r="B54" s="4" t="s">
        <v>37</v>
      </c>
      <c r="C54" s="4" t="s">
        <v>463</v>
      </c>
      <c r="D54" s="4" t="s">
        <v>20</v>
      </c>
      <c r="E54" s="4"/>
      <c r="F54" s="4" t="s">
        <v>39</v>
      </c>
      <c r="G54" s="7">
        <v>2.0</v>
      </c>
      <c r="H54" s="8">
        <v>46188.0</v>
      </c>
      <c r="I54" s="9">
        <v>0.21</v>
      </c>
      <c r="J54" s="8">
        <f t="shared" si="1"/>
        <v>9699.48</v>
      </c>
      <c r="K54" s="8">
        <f t="shared" si="2"/>
        <v>55887.48</v>
      </c>
      <c r="L54" s="4" t="s">
        <v>49</v>
      </c>
    </row>
    <row r="55" ht="15.75" customHeight="1">
      <c r="A55" s="6">
        <v>46196.0</v>
      </c>
      <c r="B55" s="4" t="s">
        <v>18</v>
      </c>
      <c r="C55" s="4" t="s">
        <v>464</v>
      </c>
      <c r="D55" s="4" t="s">
        <v>42</v>
      </c>
      <c r="E55" s="4" t="s">
        <v>465</v>
      </c>
      <c r="F55" s="4" t="s">
        <v>46</v>
      </c>
      <c r="G55" s="7">
        <v>3.0</v>
      </c>
      <c r="H55" s="8">
        <v>59134.0</v>
      </c>
      <c r="I55" s="9">
        <v>0.21</v>
      </c>
      <c r="J55" s="8">
        <f t="shared" si="1"/>
        <v>12418.14</v>
      </c>
      <c r="K55" s="8">
        <f t="shared" si="2"/>
        <v>71552.14</v>
      </c>
      <c r="L55" s="4" t="s">
        <v>40</v>
      </c>
    </row>
    <row r="56" ht="15.75" customHeight="1">
      <c r="A56" s="6">
        <v>46197.0</v>
      </c>
      <c r="B56" s="4" t="s">
        <v>37</v>
      </c>
      <c r="C56" s="4" t="s">
        <v>466</v>
      </c>
      <c r="D56" s="4" t="s">
        <v>20</v>
      </c>
      <c r="E56" s="4"/>
      <c r="F56" s="4" t="s">
        <v>25</v>
      </c>
      <c r="G56" s="7">
        <v>4.0</v>
      </c>
      <c r="H56" s="8">
        <v>72080.0</v>
      </c>
      <c r="I56" s="9">
        <v>0.21</v>
      </c>
      <c r="J56" s="8">
        <f t="shared" si="1"/>
        <v>15136.8</v>
      </c>
      <c r="K56" s="8">
        <f t="shared" si="2"/>
        <v>87216.8</v>
      </c>
      <c r="L56" s="4" t="s">
        <v>47</v>
      </c>
    </row>
    <row r="57" ht="15.75" customHeight="1">
      <c r="A57" s="6">
        <v>46198.0</v>
      </c>
      <c r="B57" s="4" t="s">
        <v>37</v>
      </c>
      <c r="C57" s="4" t="s">
        <v>467</v>
      </c>
      <c r="D57" s="4" t="s">
        <v>54</v>
      </c>
      <c r="E57" s="4"/>
      <c r="F57" s="4" t="s">
        <v>22</v>
      </c>
      <c r="G57" s="7">
        <v>5.0</v>
      </c>
      <c r="H57" s="8">
        <v>85026.0</v>
      </c>
      <c r="I57" s="9">
        <v>0.21</v>
      </c>
      <c r="J57" s="8">
        <f t="shared" si="1"/>
        <v>17855.46</v>
      </c>
      <c r="K57" s="8">
        <f t="shared" si="2"/>
        <v>102881.46</v>
      </c>
      <c r="L57" s="4" t="s">
        <v>36</v>
      </c>
    </row>
    <row r="58" ht="15.75" customHeight="1">
      <c r="A58" s="6">
        <v>46199.0</v>
      </c>
      <c r="B58" s="4" t="s">
        <v>37</v>
      </c>
      <c r="C58" s="4" t="s">
        <v>468</v>
      </c>
      <c r="D58" s="4" t="s">
        <v>58</v>
      </c>
      <c r="E58" s="4"/>
      <c r="F58" s="4" t="s">
        <v>39</v>
      </c>
      <c r="G58" s="7">
        <v>6.0</v>
      </c>
      <c r="H58" s="8">
        <v>97972.0</v>
      </c>
      <c r="I58" s="9">
        <v>0.21</v>
      </c>
      <c r="J58" s="8">
        <f t="shared" si="1"/>
        <v>20574.12</v>
      </c>
      <c r="K58" s="8">
        <f t="shared" si="2"/>
        <v>118546.12</v>
      </c>
      <c r="L58" s="4" t="s">
        <v>43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6" width="28.0"/>
    <col customWidth="1" min="7" max="7" width="9.88"/>
    <col customWidth="1" min="8" max="8" width="9.0"/>
    <col customWidth="1" min="9" max="9" width="8.5"/>
    <col customWidth="1" min="10" max="10" width="9.38"/>
    <col customWidth="1" min="11" max="11" width="19.0"/>
    <col customWidth="1" min="12" max="26" width="8.63"/>
  </cols>
  <sheetData>
    <row r="1" ht="30.0" customHeight="1">
      <c r="A1" s="3" t="s">
        <v>391</v>
      </c>
    </row>
    <row r="2">
      <c r="A2" s="2" t="s">
        <v>14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31.5" customHeight="1">
      <c r="A4" s="5" t="s">
        <v>5</v>
      </c>
      <c r="B4" s="5" t="s">
        <v>26</v>
      </c>
      <c r="C4" s="5" t="s">
        <v>27</v>
      </c>
      <c r="D4" s="5" t="s">
        <v>6</v>
      </c>
      <c r="E4" s="5" t="s">
        <v>28</v>
      </c>
      <c r="F4" s="5" t="s">
        <v>29</v>
      </c>
      <c r="G4" s="5" t="s">
        <v>12</v>
      </c>
      <c r="H4" s="5" t="s">
        <v>13</v>
      </c>
      <c r="I4" s="5" t="s">
        <v>30</v>
      </c>
      <c r="J4" s="5" t="s">
        <v>16</v>
      </c>
      <c r="K4" s="5" t="s">
        <v>31</v>
      </c>
    </row>
    <row r="5">
      <c r="A5" s="6">
        <v>46175.0</v>
      </c>
      <c r="B5" s="4" t="s">
        <v>32</v>
      </c>
      <c r="C5" s="4" t="s">
        <v>33</v>
      </c>
      <c r="D5" s="4" t="s">
        <v>18</v>
      </c>
      <c r="E5" s="4" t="s">
        <v>34</v>
      </c>
      <c r="F5" s="4" t="s">
        <v>35</v>
      </c>
      <c r="G5" s="8">
        <v>117657.0</v>
      </c>
      <c r="H5" s="9">
        <v>0.105</v>
      </c>
      <c r="I5" s="8">
        <f t="shared" ref="I5:I22" si="1">ROUND(G5*H5,2)</f>
        <v>12353.99</v>
      </c>
      <c r="J5" s="8">
        <f t="shared" ref="J5:J22" si="2">ROUND(G5+I5,2)</f>
        <v>130010.99</v>
      </c>
      <c r="K5" s="4" t="s">
        <v>40</v>
      </c>
    </row>
    <row r="6">
      <c r="A6" s="6">
        <v>46178.0</v>
      </c>
      <c r="B6" s="4" t="s">
        <v>51</v>
      </c>
      <c r="C6" s="4" t="s">
        <v>53</v>
      </c>
      <c r="D6" s="4" t="s">
        <v>37</v>
      </c>
      <c r="E6" s="4" t="s">
        <v>34</v>
      </c>
      <c r="F6" s="4" t="s">
        <v>35</v>
      </c>
      <c r="G6" s="8">
        <v>122337.0</v>
      </c>
      <c r="H6" s="9">
        <v>0.105</v>
      </c>
      <c r="I6" s="8">
        <f t="shared" si="1"/>
        <v>12845.39</v>
      </c>
      <c r="J6" s="8">
        <f t="shared" si="2"/>
        <v>135182.39</v>
      </c>
      <c r="K6" s="4" t="s">
        <v>36</v>
      </c>
    </row>
    <row r="7">
      <c r="A7" s="6">
        <v>46181.0</v>
      </c>
      <c r="B7" s="4" t="s">
        <v>62</v>
      </c>
      <c r="C7" s="4" t="s">
        <v>63</v>
      </c>
      <c r="D7" s="4" t="s">
        <v>37</v>
      </c>
      <c r="E7" s="4" t="s">
        <v>65</v>
      </c>
      <c r="F7" s="4" t="s">
        <v>67</v>
      </c>
      <c r="G7" s="8">
        <v>56548.0</v>
      </c>
      <c r="H7" s="9">
        <v>0.21</v>
      </c>
      <c r="I7" s="8">
        <f t="shared" si="1"/>
        <v>11875.08</v>
      </c>
      <c r="J7" s="8">
        <f t="shared" si="2"/>
        <v>68423.08</v>
      </c>
      <c r="K7" s="4" t="s">
        <v>49</v>
      </c>
    </row>
    <row r="8">
      <c r="A8" s="6">
        <v>46184.0</v>
      </c>
      <c r="B8" s="4" t="s">
        <v>72</v>
      </c>
      <c r="C8" s="4" t="s">
        <v>73</v>
      </c>
      <c r="D8" s="4" t="s">
        <v>18</v>
      </c>
      <c r="E8" s="4" t="s">
        <v>65</v>
      </c>
      <c r="F8" s="4" t="s">
        <v>67</v>
      </c>
      <c r="G8" s="8">
        <v>69009.0</v>
      </c>
      <c r="H8" s="9">
        <v>0.21</v>
      </c>
      <c r="I8" s="8">
        <f t="shared" si="1"/>
        <v>14491.89</v>
      </c>
      <c r="J8" s="8">
        <f t="shared" si="2"/>
        <v>83500.89</v>
      </c>
      <c r="K8" s="4" t="s">
        <v>47</v>
      </c>
    </row>
    <row r="9">
      <c r="A9" s="6">
        <v>46187.0</v>
      </c>
      <c r="B9" s="4" t="s">
        <v>77</v>
      </c>
      <c r="C9" s="4" t="s">
        <v>78</v>
      </c>
      <c r="D9" s="4" t="s">
        <v>37</v>
      </c>
      <c r="E9" s="4" t="s">
        <v>79</v>
      </c>
      <c r="F9" s="4" t="s">
        <v>81</v>
      </c>
      <c r="G9" s="8">
        <v>135844.0</v>
      </c>
      <c r="H9" s="9">
        <v>0.21</v>
      </c>
      <c r="I9" s="8">
        <f t="shared" si="1"/>
        <v>28527.24</v>
      </c>
      <c r="J9" s="8">
        <f t="shared" si="2"/>
        <v>164371.24</v>
      </c>
      <c r="K9" s="4" t="s">
        <v>43</v>
      </c>
    </row>
    <row r="10">
      <c r="A10" s="6">
        <v>46190.0</v>
      </c>
      <c r="B10" s="4" t="s">
        <v>84</v>
      </c>
      <c r="C10" s="4" t="s">
        <v>85</v>
      </c>
      <c r="D10" s="4" t="s">
        <v>37</v>
      </c>
      <c r="E10" s="4" t="s">
        <v>86</v>
      </c>
      <c r="F10" s="4" t="s">
        <v>88</v>
      </c>
      <c r="G10" s="8">
        <v>92184.0</v>
      </c>
      <c r="H10" s="9">
        <v>0.21</v>
      </c>
      <c r="I10" s="8">
        <f t="shared" si="1"/>
        <v>19358.64</v>
      </c>
      <c r="J10" s="8">
        <f t="shared" si="2"/>
        <v>111542.64</v>
      </c>
      <c r="K10" s="4" t="s">
        <v>40</v>
      </c>
    </row>
    <row r="11">
      <c r="A11" s="6">
        <v>46193.0</v>
      </c>
      <c r="B11" s="4" t="s">
        <v>90</v>
      </c>
      <c r="C11" s="4" t="s">
        <v>91</v>
      </c>
      <c r="D11" s="4" t="s">
        <v>18</v>
      </c>
      <c r="E11" s="4" t="s">
        <v>94</v>
      </c>
      <c r="F11" s="4" t="s">
        <v>95</v>
      </c>
      <c r="G11" s="8">
        <v>19610.0</v>
      </c>
      <c r="H11" s="9">
        <v>0.21</v>
      </c>
      <c r="I11" s="8">
        <f t="shared" si="1"/>
        <v>4118.1</v>
      </c>
      <c r="J11" s="8">
        <f t="shared" si="2"/>
        <v>23728.1</v>
      </c>
      <c r="K11" s="4" t="s">
        <v>36</v>
      </c>
    </row>
    <row r="12">
      <c r="A12" s="6">
        <v>46196.0</v>
      </c>
      <c r="B12" s="4" t="s">
        <v>97</v>
      </c>
      <c r="C12" s="4" t="s">
        <v>98</v>
      </c>
      <c r="D12" s="4" t="s">
        <v>37</v>
      </c>
      <c r="E12" s="4" t="s">
        <v>100</v>
      </c>
      <c r="F12" s="4" t="s">
        <v>101</v>
      </c>
      <c r="G12" s="8">
        <v>50182.0</v>
      </c>
      <c r="H12" s="9">
        <v>0.21</v>
      </c>
      <c r="I12" s="8">
        <f t="shared" si="1"/>
        <v>10538.22</v>
      </c>
      <c r="J12" s="8">
        <f t="shared" si="2"/>
        <v>60720.22</v>
      </c>
      <c r="K12" s="4" t="s">
        <v>49</v>
      </c>
    </row>
    <row r="13">
      <c r="A13" s="6">
        <v>46199.0</v>
      </c>
      <c r="B13" s="4" t="s">
        <v>103</v>
      </c>
      <c r="C13" s="4" t="s">
        <v>104</v>
      </c>
      <c r="D13" s="4" t="s">
        <v>37</v>
      </c>
      <c r="E13" s="4" t="s">
        <v>106</v>
      </c>
      <c r="F13" s="4" t="s">
        <v>107</v>
      </c>
      <c r="G13" s="8">
        <v>28675.0</v>
      </c>
      <c r="H13" s="9">
        <v>0.21</v>
      </c>
      <c r="I13" s="8">
        <f t="shared" si="1"/>
        <v>6021.75</v>
      </c>
      <c r="J13" s="8">
        <f t="shared" si="2"/>
        <v>34696.75</v>
      </c>
      <c r="K13" s="4" t="s">
        <v>47</v>
      </c>
    </row>
    <row r="14">
      <c r="A14" s="6">
        <v>46175.0</v>
      </c>
      <c r="B14" s="4" t="s">
        <v>111</v>
      </c>
      <c r="C14" s="4" t="s">
        <v>112</v>
      </c>
      <c r="D14" s="4" t="s">
        <v>18</v>
      </c>
      <c r="E14" s="4" t="s">
        <v>113</v>
      </c>
      <c r="F14" s="4" t="s">
        <v>114</v>
      </c>
      <c r="G14" s="8">
        <v>143626.0</v>
      </c>
      <c r="H14" s="9">
        <v>0.21</v>
      </c>
      <c r="I14" s="8">
        <f t="shared" si="1"/>
        <v>30161.46</v>
      </c>
      <c r="J14" s="8">
        <f t="shared" si="2"/>
        <v>173787.46</v>
      </c>
      <c r="K14" s="4" t="s">
        <v>43</v>
      </c>
    </row>
    <row r="15">
      <c r="A15" s="6">
        <v>46178.0</v>
      </c>
      <c r="B15" s="4" t="s">
        <v>118</v>
      </c>
      <c r="C15" s="4" t="s">
        <v>119</v>
      </c>
      <c r="D15" s="4" t="s">
        <v>37</v>
      </c>
      <c r="E15" s="4" t="s">
        <v>123</v>
      </c>
      <c r="F15" s="4" t="s">
        <v>124</v>
      </c>
      <c r="G15" s="8">
        <v>45585.0</v>
      </c>
      <c r="H15" s="9">
        <v>0.21</v>
      </c>
      <c r="I15" s="8">
        <f t="shared" si="1"/>
        <v>9572.85</v>
      </c>
      <c r="J15" s="8">
        <f t="shared" si="2"/>
        <v>55157.85</v>
      </c>
      <c r="K15" s="4" t="s">
        <v>40</v>
      </c>
    </row>
    <row r="16">
      <c r="A16" s="6">
        <v>46181.0</v>
      </c>
      <c r="B16" s="4" t="s">
        <v>127</v>
      </c>
      <c r="C16" s="4" t="s">
        <v>128</v>
      </c>
      <c r="D16" s="4" t="s">
        <v>37</v>
      </c>
      <c r="E16" s="4" t="s">
        <v>130</v>
      </c>
      <c r="F16" s="4" t="s">
        <v>131</v>
      </c>
      <c r="G16" s="8">
        <v>32353.0</v>
      </c>
      <c r="H16" s="9">
        <v>0.21</v>
      </c>
      <c r="I16" s="8">
        <f t="shared" si="1"/>
        <v>6794.13</v>
      </c>
      <c r="J16" s="8">
        <f t="shared" si="2"/>
        <v>39147.13</v>
      </c>
      <c r="K16" s="4" t="s">
        <v>36</v>
      </c>
    </row>
    <row r="17">
      <c r="A17" s="6">
        <v>46184.0</v>
      </c>
      <c r="B17" s="4" t="s">
        <v>134</v>
      </c>
      <c r="C17" s="4" t="s">
        <v>136</v>
      </c>
      <c r="D17" s="4" t="s">
        <v>18</v>
      </c>
      <c r="E17" s="4" t="s">
        <v>130</v>
      </c>
      <c r="F17" s="4" t="s">
        <v>131</v>
      </c>
      <c r="G17" s="8">
        <v>53938.0</v>
      </c>
      <c r="H17" s="9">
        <v>0.21</v>
      </c>
      <c r="I17" s="8">
        <f t="shared" si="1"/>
        <v>11326.98</v>
      </c>
      <c r="J17" s="8">
        <f t="shared" si="2"/>
        <v>65264.98</v>
      </c>
      <c r="K17" s="4" t="s">
        <v>49</v>
      </c>
    </row>
    <row r="18">
      <c r="A18" s="6">
        <v>46187.0</v>
      </c>
      <c r="B18" s="4" t="s">
        <v>141</v>
      </c>
      <c r="C18" s="4" t="s">
        <v>142</v>
      </c>
      <c r="D18" s="4" t="s">
        <v>37</v>
      </c>
      <c r="E18" s="4" t="s">
        <v>143</v>
      </c>
      <c r="F18" s="4" t="s">
        <v>144</v>
      </c>
      <c r="G18" s="8">
        <v>29031.0</v>
      </c>
      <c r="H18" s="9">
        <v>0.21</v>
      </c>
      <c r="I18" s="8">
        <f t="shared" si="1"/>
        <v>6096.51</v>
      </c>
      <c r="J18" s="8">
        <f t="shared" si="2"/>
        <v>35127.51</v>
      </c>
      <c r="K18" s="4" t="s">
        <v>47</v>
      </c>
    </row>
    <row r="19">
      <c r="A19" s="6">
        <v>46190.0</v>
      </c>
      <c r="B19" s="4" t="s">
        <v>147</v>
      </c>
      <c r="C19" s="4" t="s">
        <v>148</v>
      </c>
      <c r="D19" s="4" t="s">
        <v>37</v>
      </c>
      <c r="E19" s="4" t="s">
        <v>143</v>
      </c>
      <c r="F19" s="4" t="s">
        <v>144</v>
      </c>
      <c r="G19" s="8">
        <v>37101.0</v>
      </c>
      <c r="H19" s="9">
        <v>0.21</v>
      </c>
      <c r="I19" s="8">
        <f t="shared" si="1"/>
        <v>7791.21</v>
      </c>
      <c r="J19" s="8">
        <f t="shared" si="2"/>
        <v>44892.21</v>
      </c>
      <c r="K19" s="4" t="s">
        <v>43</v>
      </c>
    </row>
    <row r="20">
      <c r="A20" s="6">
        <v>46193.0</v>
      </c>
      <c r="B20" s="4" t="s">
        <v>151</v>
      </c>
      <c r="C20" s="4" t="s">
        <v>152</v>
      </c>
      <c r="D20" s="4" t="s">
        <v>18</v>
      </c>
      <c r="E20" s="4" t="s">
        <v>130</v>
      </c>
      <c r="F20" s="4" t="s">
        <v>131</v>
      </c>
      <c r="G20" s="8">
        <v>30507.0</v>
      </c>
      <c r="H20" s="9">
        <v>0.21</v>
      </c>
      <c r="I20" s="8">
        <f t="shared" si="1"/>
        <v>6406.47</v>
      </c>
      <c r="J20" s="8">
        <f t="shared" si="2"/>
        <v>36913.47</v>
      </c>
      <c r="K20" s="4" t="s">
        <v>40</v>
      </c>
    </row>
    <row r="21" ht="15.75" customHeight="1">
      <c r="A21" s="6">
        <v>46196.0</v>
      </c>
      <c r="B21" s="4" t="s">
        <v>155</v>
      </c>
      <c r="C21" s="4" t="s">
        <v>156</v>
      </c>
      <c r="D21" s="4" t="s">
        <v>37</v>
      </c>
      <c r="E21" s="4" t="s">
        <v>123</v>
      </c>
      <c r="F21" s="4" t="s">
        <v>124</v>
      </c>
      <c r="G21" s="8">
        <v>49840.0</v>
      </c>
      <c r="H21" s="9">
        <v>0.21</v>
      </c>
      <c r="I21" s="8">
        <f t="shared" si="1"/>
        <v>10466.4</v>
      </c>
      <c r="J21" s="8">
        <f t="shared" si="2"/>
        <v>60306.4</v>
      </c>
      <c r="K21" s="4" t="s">
        <v>36</v>
      </c>
    </row>
    <row r="22" ht="15.75" customHeight="1">
      <c r="A22" s="6">
        <v>46199.0</v>
      </c>
      <c r="B22" s="4" t="s">
        <v>160</v>
      </c>
      <c r="C22" s="4" t="s">
        <v>161</v>
      </c>
      <c r="D22" s="4" t="s">
        <v>37</v>
      </c>
      <c r="E22" s="4" t="s">
        <v>162</v>
      </c>
      <c r="F22" s="4" t="s">
        <v>163</v>
      </c>
      <c r="G22" s="8">
        <v>16321.0</v>
      </c>
      <c r="H22" s="9">
        <v>0.21</v>
      </c>
      <c r="I22" s="8">
        <f t="shared" si="1"/>
        <v>3427.41</v>
      </c>
      <c r="J22" s="8">
        <f t="shared" si="2"/>
        <v>19748.41</v>
      </c>
      <c r="K22" s="4" t="s">
        <v>49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2" width="16.0"/>
    <col customWidth="1" min="3" max="3" width="11.25"/>
    <col customWidth="1" min="4" max="6" width="27.0"/>
    <col customWidth="1" min="7" max="7" width="6.75"/>
    <col customWidth="1" min="8" max="8" width="9.88"/>
    <col customWidth="1" min="9" max="9" width="9.0"/>
    <col customWidth="1" min="10" max="10" width="8.5"/>
    <col customWidth="1" min="11" max="11" width="9.38"/>
    <col customWidth="1" min="12" max="12" width="19.0"/>
    <col customWidth="1" min="13" max="26" width="8.63"/>
  </cols>
  <sheetData>
    <row r="1" ht="30.0" customHeight="1">
      <c r="A1" s="1" t="s">
        <v>470</v>
      </c>
    </row>
    <row r="2">
      <c r="A2" s="2" t="s">
        <v>4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31.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15</v>
      </c>
      <c r="K4" s="5" t="s">
        <v>16</v>
      </c>
      <c r="L4" s="5" t="s">
        <v>17</v>
      </c>
    </row>
    <row r="5">
      <c r="A5" s="6">
        <v>46204.0</v>
      </c>
      <c r="B5" s="4" t="s">
        <v>18</v>
      </c>
      <c r="C5" s="4" t="s">
        <v>472</v>
      </c>
      <c r="D5" s="4" t="s">
        <v>20</v>
      </c>
      <c r="E5" s="4" t="s">
        <v>473</v>
      </c>
      <c r="F5" s="4" t="s">
        <v>39</v>
      </c>
      <c r="G5" s="7">
        <v>1.0</v>
      </c>
      <c r="H5" s="8">
        <v>42462.0</v>
      </c>
      <c r="I5" s="9">
        <v>0.21</v>
      </c>
      <c r="J5" s="8">
        <f t="shared" ref="J5:J58" si="1">ROUND(H5*I5,2)</f>
        <v>8917.02</v>
      </c>
      <c r="K5" s="8">
        <f t="shared" ref="K5:K58" si="2">ROUND(H5+J5,2)</f>
        <v>51379.02</v>
      </c>
      <c r="L5" s="4" t="s">
        <v>36</v>
      </c>
    </row>
    <row r="6">
      <c r="A6" s="6">
        <v>46205.0</v>
      </c>
      <c r="B6" s="4" t="s">
        <v>37</v>
      </c>
      <c r="C6" s="4" t="s">
        <v>476</v>
      </c>
      <c r="D6" s="4" t="s">
        <v>20</v>
      </c>
      <c r="E6" s="4"/>
      <c r="F6" s="4" t="s">
        <v>46</v>
      </c>
      <c r="G6" s="7">
        <v>2.0</v>
      </c>
      <c r="H6" s="8">
        <v>55408.0</v>
      </c>
      <c r="I6" s="9">
        <v>0.21</v>
      </c>
      <c r="J6" s="8">
        <f t="shared" si="1"/>
        <v>11635.68</v>
      </c>
      <c r="K6" s="8">
        <f t="shared" si="2"/>
        <v>67043.68</v>
      </c>
      <c r="L6" s="4" t="s">
        <v>43</v>
      </c>
    </row>
    <row r="7">
      <c r="A7" s="6">
        <v>46206.0</v>
      </c>
      <c r="B7" s="4" t="s">
        <v>37</v>
      </c>
      <c r="C7" s="4" t="s">
        <v>478</v>
      </c>
      <c r="D7" s="4" t="s">
        <v>20</v>
      </c>
      <c r="E7" s="4"/>
      <c r="F7" s="4" t="s">
        <v>25</v>
      </c>
      <c r="G7" s="7">
        <v>3.0</v>
      </c>
      <c r="H7" s="8">
        <v>68354.0</v>
      </c>
      <c r="I7" s="9">
        <v>0.21</v>
      </c>
      <c r="J7" s="8">
        <f t="shared" si="1"/>
        <v>14354.34</v>
      </c>
      <c r="K7" s="8">
        <f t="shared" si="2"/>
        <v>82708.34</v>
      </c>
      <c r="L7" s="4" t="s">
        <v>49</v>
      </c>
    </row>
    <row r="8">
      <c r="A8" s="6">
        <v>46207.0</v>
      </c>
      <c r="B8" s="4" t="s">
        <v>37</v>
      </c>
      <c r="C8" s="4" t="s">
        <v>480</v>
      </c>
      <c r="D8" s="4" t="s">
        <v>45</v>
      </c>
      <c r="E8" s="4"/>
      <c r="F8" s="4" t="s">
        <v>22</v>
      </c>
      <c r="G8" s="7">
        <v>4.0</v>
      </c>
      <c r="H8" s="8">
        <v>81300.0</v>
      </c>
      <c r="I8" s="9">
        <v>0.21</v>
      </c>
      <c r="J8" s="8">
        <f t="shared" si="1"/>
        <v>17073</v>
      </c>
      <c r="K8" s="8">
        <f t="shared" si="2"/>
        <v>98373</v>
      </c>
      <c r="L8" s="4" t="s">
        <v>40</v>
      </c>
    </row>
    <row r="9">
      <c r="A9" s="6">
        <v>46208.0</v>
      </c>
      <c r="B9" s="4" t="s">
        <v>37</v>
      </c>
      <c r="C9" s="4" t="s">
        <v>482</v>
      </c>
      <c r="D9" s="4" t="s">
        <v>20</v>
      </c>
      <c r="E9" s="4"/>
      <c r="F9" s="4" t="s">
        <v>39</v>
      </c>
      <c r="G9" s="7">
        <v>5.0</v>
      </c>
      <c r="H9" s="8">
        <v>94246.0</v>
      </c>
      <c r="I9" s="9">
        <v>0.21</v>
      </c>
      <c r="J9" s="8">
        <f t="shared" si="1"/>
        <v>19791.66</v>
      </c>
      <c r="K9" s="8">
        <f t="shared" si="2"/>
        <v>114037.66</v>
      </c>
      <c r="L9" s="4" t="s">
        <v>47</v>
      </c>
    </row>
    <row r="10">
      <c r="A10" s="6">
        <v>46209.0</v>
      </c>
      <c r="B10" s="4" t="s">
        <v>37</v>
      </c>
      <c r="C10" s="4" t="s">
        <v>484</v>
      </c>
      <c r="D10" s="4" t="s">
        <v>56</v>
      </c>
      <c r="E10" s="4"/>
      <c r="F10" s="4" t="s">
        <v>46</v>
      </c>
      <c r="G10" s="7">
        <v>6.0</v>
      </c>
      <c r="H10" s="8">
        <v>107192.0</v>
      </c>
      <c r="I10" s="9">
        <v>0.21</v>
      </c>
      <c r="J10" s="8">
        <f t="shared" si="1"/>
        <v>22510.32</v>
      </c>
      <c r="K10" s="8">
        <f t="shared" si="2"/>
        <v>129702.32</v>
      </c>
      <c r="L10" s="4" t="s">
        <v>36</v>
      </c>
    </row>
    <row r="11">
      <c r="A11" s="6">
        <v>46210.0</v>
      </c>
      <c r="B11" s="4" t="s">
        <v>37</v>
      </c>
      <c r="C11" s="4" t="s">
        <v>486</v>
      </c>
      <c r="D11" s="4" t="s">
        <v>20</v>
      </c>
      <c r="E11" s="4"/>
      <c r="F11" s="4" t="s">
        <v>25</v>
      </c>
      <c r="G11" s="7">
        <v>1.0</v>
      </c>
      <c r="H11" s="8">
        <v>120138.0</v>
      </c>
      <c r="I11" s="9">
        <v>0.21</v>
      </c>
      <c r="J11" s="8">
        <f t="shared" si="1"/>
        <v>25228.98</v>
      </c>
      <c r="K11" s="8">
        <f t="shared" si="2"/>
        <v>145366.98</v>
      </c>
      <c r="L11" s="4" t="s">
        <v>43</v>
      </c>
    </row>
    <row r="12">
      <c r="A12" s="6">
        <v>46211.0</v>
      </c>
      <c r="B12" s="4" t="s">
        <v>37</v>
      </c>
      <c r="C12" s="4" t="s">
        <v>488</v>
      </c>
      <c r="D12" s="4" t="s">
        <v>42</v>
      </c>
      <c r="E12" s="4"/>
      <c r="F12" s="4" t="s">
        <v>22</v>
      </c>
      <c r="G12" s="7">
        <v>2.0</v>
      </c>
      <c r="H12" s="8">
        <v>43083.0</v>
      </c>
      <c r="I12" s="9">
        <v>0.21</v>
      </c>
      <c r="J12" s="8">
        <f t="shared" si="1"/>
        <v>9047.43</v>
      </c>
      <c r="K12" s="8">
        <f t="shared" si="2"/>
        <v>52130.43</v>
      </c>
      <c r="L12" s="4" t="s">
        <v>49</v>
      </c>
    </row>
    <row r="13">
      <c r="A13" s="6">
        <v>46212.0</v>
      </c>
      <c r="B13" s="4" t="s">
        <v>37</v>
      </c>
      <c r="C13" s="4" t="s">
        <v>490</v>
      </c>
      <c r="D13" s="4" t="s">
        <v>20</v>
      </c>
      <c r="E13" s="4"/>
      <c r="F13" s="4" t="s">
        <v>39</v>
      </c>
      <c r="G13" s="7">
        <v>3.0</v>
      </c>
      <c r="H13" s="8">
        <v>56029.0</v>
      </c>
      <c r="I13" s="9">
        <v>0.21</v>
      </c>
      <c r="J13" s="8">
        <f t="shared" si="1"/>
        <v>11766.09</v>
      </c>
      <c r="K13" s="8">
        <f t="shared" si="2"/>
        <v>67795.09</v>
      </c>
      <c r="L13" s="4" t="s">
        <v>40</v>
      </c>
    </row>
    <row r="14">
      <c r="A14" s="6">
        <v>46213.0</v>
      </c>
      <c r="B14" s="4" t="s">
        <v>37</v>
      </c>
      <c r="C14" s="4" t="s">
        <v>493</v>
      </c>
      <c r="D14" s="4" t="s">
        <v>54</v>
      </c>
      <c r="E14" s="4"/>
      <c r="F14" s="4" t="s">
        <v>46</v>
      </c>
      <c r="G14" s="7">
        <v>4.0</v>
      </c>
      <c r="H14" s="8">
        <v>68975.0</v>
      </c>
      <c r="I14" s="9">
        <v>0.21</v>
      </c>
      <c r="J14" s="8">
        <f t="shared" si="1"/>
        <v>14484.75</v>
      </c>
      <c r="K14" s="8">
        <f t="shared" si="2"/>
        <v>83459.75</v>
      </c>
      <c r="L14" s="4" t="s">
        <v>47</v>
      </c>
    </row>
    <row r="15">
      <c r="A15" s="6">
        <v>46214.0</v>
      </c>
      <c r="B15" s="4" t="s">
        <v>18</v>
      </c>
      <c r="C15" s="4" t="s">
        <v>496</v>
      </c>
      <c r="D15" s="4" t="s">
        <v>58</v>
      </c>
      <c r="E15" s="4" t="s">
        <v>498</v>
      </c>
      <c r="F15" s="4" t="s">
        <v>25</v>
      </c>
      <c r="G15" s="7">
        <v>5.0</v>
      </c>
      <c r="H15" s="8">
        <v>81921.0</v>
      </c>
      <c r="I15" s="9">
        <v>0.21</v>
      </c>
      <c r="J15" s="8">
        <f t="shared" si="1"/>
        <v>17203.41</v>
      </c>
      <c r="K15" s="8">
        <f t="shared" si="2"/>
        <v>99124.41</v>
      </c>
      <c r="L15" s="4" t="s">
        <v>36</v>
      </c>
    </row>
    <row r="16">
      <c r="A16" s="6">
        <v>46215.0</v>
      </c>
      <c r="B16" s="4" t="s">
        <v>37</v>
      </c>
      <c r="C16" s="4" t="s">
        <v>500</v>
      </c>
      <c r="D16" s="4" t="s">
        <v>20</v>
      </c>
      <c r="E16" s="4"/>
      <c r="F16" s="4" t="s">
        <v>22</v>
      </c>
      <c r="G16" s="7">
        <v>6.0</v>
      </c>
      <c r="H16" s="8">
        <v>94867.0</v>
      </c>
      <c r="I16" s="9">
        <v>0.21</v>
      </c>
      <c r="J16" s="8">
        <f t="shared" si="1"/>
        <v>19922.07</v>
      </c>
      <c r="K16" s="8">
        <f t="shared" si="2"/>
        <v>114789.07</v>
      </c>
      <c r="L16" s="4" t="s">
        <v>43</v>
      </c>
    </row>
    <row r="17">
      <c r="A17" s="6">
        <v>46216.0</v>
      </c>
      <c r="B17" s="4" t="s">
        <v>37</v>
      </c>
      <c r="C17" s="4" t="s">
        <v>503</v>
      </c>
      <c r="D17" s="4" t="s">
        <v>20</v>
      </c>
      <c r="E17" s="4"/>
      <c r="F17" s="4" t="s">
        <v>39</v>
      </c>
      <c r="G17" s="7">
        <v>1.0</v>
      </c>
      <c r="H17" s="8">
        <v>107813.0</v>
      </c>
      <c r="I17" s="9">
        <v>0.21</v>
      </c>
      <c r="J17" s="8">
        <f t="shared" si="1"/>
        <v>22640.73</v>
      </c>
      <c r="K17" s="8">
        <f t="shared" si="2"/>
        <v>130453.73</v>
      </c>
      <c r="L17" s="4" t="s">
        <v>49</v>
      </c>
    </row>
    <row r="18">
      <c r="A18" s="6">
        <v>46217.0</v>
      </c>
      <c r="B18" s="4" t="s">
        <v>37</v>
      </c>
      <c r="C18" s="4" t="s">
        <v>505</v>
      </c>
      <c r="D18" s="4" t="s">
        <v>20</v>
      </c>
      <c r="E18" s="4"/>
      <c r="F18" s="4" t="s">
        <v>46</v>
      </c>
      <c r="G18" s="7">
        <v>2.0</v>
      </c>
      <c r="H18" s="8">
        <v>120759.0</v>
      </c>
      <c r="I18" s="9">
        <v>0.21</v>
      </c>
      <c r="J18" s="8">
        <f t="shared" si="1"/>
        <v>25359.39</v>
      </c>
      <c r="K18" s="8">
        <f t="shared" si="2"/>
        <v>146118.39</v>
      </c>
      <c r="L18" s="4" t="s">
        <v>40</v>
      </c>
    </row>
    <row r="19">
      <c r="A19" s="6">
        <v>46218.0</v>
      </c>
      <c r="B19" s="4" t="s">
        <v>37</v>
      </c>
      <c r="C19" s="4" t="s">
        <v>507</v>
      </c>
      <c r="D19" s="4" t="s">
        <v>20</v>
      </c>
      <c r="E19" s="4"/>
      <c r="F19" s="4" t="s">
        <v>25</v>
      </c>
      <c r="G19" s="7">
        <v>3.0</v>
      </c>
      <c r="H19" s="8">
        <v>43704.0</v>
      </c>
      <c r="I19" s="9">
        <v>0.21</v>
      </c>
      <c r="J19" s="8">
        <f t="shared" si="1"/>
        <v>9177.84</v>
      </c>
      <c r="K19" s="8">
        <f t="shared" si="2"/>
        <v>52881.84</v>
      </c>
      <c r="L19" s="4" t="s">
        <v>47</v>
      </c>
    </row>
    <row r="20">
      <c r="A20" s="6">
        <v>46219.0</v>
      </c>
      <c r="B20" s="4" t="s">
        <v>37</v>
      </c>
      <c r="C20" s="4" t="s">
        <v>509</v>
      </c>
      <c r="D20" s="4" t="s">
        <v>45</v>
      </c>
      <c r="E20" s="4"/>
      <c r="F20" s="4" t="s">
        <v>22</v>
      </c>
      <c r="G20" s="7">
        <v>4.0</v>
      </c>
      <c r="H20" s="8">
        <v>56650.0</v>
      </c>
      <c r="I20" s="9">
        <v>0.21</v>
      </c>
      <c r="J20" s="8">
        <f t="shared" si="1"/>
        <v>11896.5</v>
      </c>
      <c r="K20" s="8">
        <f t="shared" si="2"/>
        <v>68546.5</v>
      </c>
      <c r="L20" s="4" t="s">
        <v>36</v>
      </c>
    </row>
    <row r="21" ht="15.75" customHeight="1">
      <c r="A21" s="6">
        <v>46220.0</v>
      </c>
      <c r="B21" s="4" t="s">
        <v>37</v>
      </c>
      <c r="C21" s="4" t="s">
        <v>512</v>
      </c>
      <c r="D21" s="4" t="s">
        <v>20</v>
      </c>
      <c r="E21" s="4"/>
      <c r="F21" s="4" t="s">
        <v>39</v>
      </c>
      <c r="G21" s="7">
        <v>5.0</v>
      </c>
      <c r="H21" s="8">
        <v>69596.0</v>
      </c>
      <c r="I21" s="9">
        <v>0.21</v>
      </c>
      <c r="J21" s="8">
        <f t="shared" si="1"/>
        <v>14615.16</v>
      </c>
      <c r="K21" s="8">
        <f t="shared" si="2"/>
        <v>84211.16</v>
      </c>
      <c r="L21" s="4" t="s">
        <v>43</v>
      </c>
    </row>
    <row r="22" ht="15.75" customHeight="1">
      <c r="A22" s="6">
        <v>46221.0</v>
      </c>
      <c r="B22" s="4" t="s">
        <v>37</v>
      </c>
      <c r="C22" s="4" t="s">
        <v>515</v>
      </c>
      <c r="D22" s="4" t="s">
        <v>56</v>
      </c>
      <c r="E22" s="4"/>
      <c r="F22" s="4" t="s">
        <v>46</v>
      </c>
      <c r="G22" s="7">
        <v>6.0</v>
      </c>
      <c r="H22" s="8">
        <v>82542.0</v>
      </c>
      <c r="I22" s="9">
        <v>0.21</v>
      </c>
      <c r="J22" s="8">
        <f t="shared" si="1"/>
        <v>17333.82</v>
      </c>
      <c r="K22" s="8">
        <f t="shared" si="2"/>
        <v>99875.82</v>
      </c>
      <c r="L22" s="4" t="s">
        <v>49</v>
      </c>
    </row>
    <row r="23" ht="15.75" customHeight="1">
      <c r="A23" s="6">
        <v>46222.0</v>
      </c>
      <c r="B23" s="4" t="s">
        <v>37</v>
      </c>
      <c r="C23" s="4" t="s">
        <v>517</v>
      </c>
      <c r="D23" s="4" t="s">
        <v>20</v>
      </c>
      <c r="E23" s="4"/>
      <c r="F23" s="4" t="s">
        <v>25</v>
      </c>
      <c r="G23" s="7">
        <v>1.0</v>
      </c>
      <c r="H23" s="8">
        <v>95488.0</v>
      </c>
      <c r="I23" s="9">
        <v>0.21</v>
      </c>
      <c r="J23" s="8">
        <f t="shared" si="1"/>
        <v>20052.48</v>
      </c>
      <c r="K23" s="8">
        <f t="shared" si="2"/>
        <v>115540.48</v>
      </c>
      <c r="L23" s="4" t="s">
        <v>40</v>
      </c>
    </row>
    <row r="24" ht="15.75" customHeight="1">
      <c r="A24" s="6">
        <v>46223.0</v>
      </c>
      <c r="B24" s="4" t="s">
        <v>37</v>
      </c>
      <c r="C24" s="4" t="s">
        <v>519</v>
      </c>
      <c r="D24" s="4" t="s">
        <v>42</v>
      </c>
      <c r="E24" s="4"/>
      <c r="F24" s="4" t="s">
        <v>22</v>
      </c>
      <c r="G24" s="7">
        <v>2.0</v>
      </c>
      <c r="H24" s="8">
        <v>108434.0</v>
      </c>
      <c r="I24" s="9">
        <v>0.21</v>
      </c>
      <c r="J24" s="8">
        <f t="shared" si="1"/>
        <v>22771.14</v>
      </c>
      <c r="K24" s="8">
        <f t="shared" si="2"/>
        <v>131205.14</v>
      </c>
      <c r="L24" s="4" t="s">
        <v>47</v>
      </c>
    </row>
    <row r="25" ht="15.75" customHeight="1">
      <c r="A25" s="6">
        <v>46224.0</v>
      </c>
      <c r="B25" s="4" t="s">
        <v>18</v>
      </c>
      <c r="C25" s="4" t="s">
        <v>521</v>
      </c>
      <c r="D25" s="4" t="s">
        <v>20</v>
      </c>
      <c r="E25" s="4" t="s">
        <v>522</v>
      </c>
      <c r="F25" s="4" t="s">
        <v>39</v>
      </c>
      <c r="G25" s="7">
        <v>3.0</v>
      </c>
      <c r="H25" s="8">
        <v>121380.0</v>
      </c>
      <c r="I25" s="9">
        <v>0.21</v>
      </c>
      <c r="J25" s="8">
        <f t="shared" si="1"/>
        <v>25489.8</v>
      </c>
      <c r="K25" s="8">
        <f t="shared" si="2"/>
        <v>146869.8</v>
      </c>
      <c r="L25" s="4" t="s">
        <v>36</v>
      </c>
    </row>
    <row r="26" ht="15.75" customHeight="1">
      <c r="A26" s="6">
        <v>46225.0</v>
      </c>
      <c r="B26" s="4" t="s">
        <v>37</v>
      </c>
      <c r="C26" s="4" t="s">
        <v>524</v>
      </c>
      <c r="D26" s="4" t="s">
        <v>54</v>
      </c>
      <c r="E26" s="4"/>
      <c r="F26" s="4" t="s">
        <v>46</v>
      </c>
      <c r="G26" s="7">
        <v>4.0</v>
      </c>
      <c r="H26" s="8">
        <v>44325.0</v>
      </c>
      <c r="I26" s="9">
        <v>0.21</v>
      </c>
      <c r="J26" s="8">
        <f t="shared" si="1"/>
        <v>9308.25</v>
      </c>
      <c r="K26" s="8">
        <f t="shared" si="2"/>
        <v>53633.25</v>
      </c>
      <c r="L26" s="4" t="s">
        <v>43</v>
      </c>
    </row>
    <row r="27" ht="15.75" customHeight="1">
      <c r="A27" s="6">
        <v>46226.0</v>
      </c>
      <c r="B27" s="4" t="s">
        <v>37</v>
      </c>
      <c r="C27" s="4" t="s">
        <v>526</v>
      </c>
      <c r="D27" s="4" t="s">
        <v>58</v>
      </c>
      <c r="E27" s="4"/>
      <c r="F27" s="4" t="s">
        <v>25</v>
      </c>
      <c r="G27" s="7">
        <v>5.0</v>
      </c>
      <c r="H27" s="8">
        <v>57271.0</v>
      </c>
      <c r="I27" s="9">
        <v>0.21</v>
      </c>
      <c r="J27" s="8">
        <f t="shared" si="1"/>
        <v>12026.91</v>
      </c>
      <c r="K27" s="8">
        <f t="shared" si="2"/>
        <v>69297.91</v>
      </c>
      <c r="L27" s="4" t="s">
        <v>49</v>
      </c>
    </row>
    <row r="28" ht="15.75" customHeight="1">
      <c r="A28" s="6">
        <v>46227.0</v>
      </c>
      <c r="B28" s="4" t="s">
        <v>37</v>
      </c>
      <c r="C28" s="4" t="s">
        <v>528</v>
      </c>
      <c r="D28" s="4" t="s">
        <v>20</v>
      </c>
      <c r="E28" s="4"/>
      <c r="F28" s="4" t="s">
        <v>22</v>
      </c>
      <c r="G28" s="7">
        <v>6.0</v>
      </c>
      <c r="H28" s="8">
        <v>70217.0</v>
      </c>
      <c r="I28" s="9">
        <v>0.21</v>
      </c>
      <c r="J28" s="8">
        <f t="shared" si="1"/>
        <v>14745.57</v>
      </c>
      <c r="K28" s="8">
        <f t="shared" si="2"/>
        <v>84962.57</v>
      </c>
      <c r="L28" s="4" t="s">
        <v>40</v>
      </c>
    </row>
    <row r="29" ht="15.75" customHeight="1">
      <c r="A29" s="6">
        <v>46228.0</v>
      </c>
      <c r="B29" s="4" t="s">
        <v>37</v>
      </c>
      <c r="C29" s="4" t="s">
        <v>531</v>
      </c>
      <c r="D29" s="4" t="s">
        <v>20</v>
      </c>
      <c r="E29" s="4"/>
      <c r="F29" s="4" t="s">
        <v>39</v>
      </c>
      <c r="G29" s="7">
        <v>1.0</v>
      </c>
      <c r="H29" s="8">
        <v>83163.0</v>
      </c>
      <c r="I29" s="9">
        <v>0.21</v>
      </c>
      <c r="J29" s="8">
        <f t="shared" si="1"/>
        <v>17464.23</v>
      </c>
      <c r="K29" s="8">
        <f t="shared" si="2"/>
        <v>100627.23</v>
      </c>
      <c r="L29" s="4" t="s">
        <v>47</v>
      </c>
    </row>
    <row r="30" ht="15.75" customHeight="1">
      <c r="A30" s="6">
        <v>46229.0</v>
      </c>
      <c r="B30" s="4" t="s">
        <v>37</v>
      </c>
      <c r="C30" s="4" t="s">
        <v>533</v>
      </c>
      <c r="D30" s="4" t="s">
        <v>20</v>
      </c>
      <c r="E30" s="4"/>
      <c r="F30" s="4" t="s">
        <v>46</v>
      </c>
      <c r="G30" s="7">
        <v>2.0</v>
      </c>
      <c r="H30" s="8">
        <v>96109.0</v>
      </c>
      <c r="I30" s="9">
        <v>0.21</v>
      </c>
      <c r="J30" s="8">
        <f t="shared" si="1"/>
        <v>20182.89</v>
      </c>
      <c r="K30" s="8">
        <f t="shared" si="2"/>
        <v>116291.89</v>
      </c>
      <c r="L30" s="4" t="s">
        <v>36</v>
      </c>
    </row>
    <row r="31" ht="15.75" customHeight="1">
      <c r="A31" s="6">
        <v>46230.0</v>
      </c>
      <c r="B31" s="4" t="s">
        <v>37</v>
      </c>
      <c r="C31" s="4" t="s">
        <v>534</v>
      </c>
      <c r="D31" s="4" t="s">
        <v>20</v>
      </c>
      <c r="E31" s="4"/>
      <c r="F31" s="4" t="s">
        <v>25</v>
      </c>
      <c r="G31" s="7">
        <v>3.0</v>
      </c>
      <c r="H31" s="8">
        <v>109055.0</v>
      </c>
      <c r="I31" s="9">
        <v>0.21</v>
      </c>
      <c r="J31" s="8">
        <f t="shared" si="1"/>
        <v>22901.55</v>
      </c>
      <c r="K31" s="8">
        <f t="shared" si="2"/>
        <v>131956.55</v>
      </c>
      <c r="L31" s="4" t="s">
        <v>43</v>
      </c>
    </row>
    <row r="32" ht="15.75" customHeight="1">
      <c r="A32" s="6">
        <v>46231.0</v>
      </c>
      <c r="B32" s="4" t="s">
        <v>37</v>
      </c>
      <c r="C32" s="4" t="s">
        <v>536</v>
      </c>
      <c r="D32" s="4" t="s">
        <v>45</v>
      </c>
      <c r="E32" s="4"/>
      <c r="F32" s="4" t="s">
        <v>22</v>
      </c>
      <c r="G32" s="7">
        <v>4.0</v>
      </c>
      <c r="H32" s="8">
        <v>122001.0</v>
      </c>
      <c r="I32" s="9">
        <v>0.21</v>
      </c>
      <c r="J32" s="8">
        <f t="shared" si="1"/>
        <v>25620.21</v>
      </c>
      <c r="K32" s="8">
        <f t="shared" si="2"/>
        <v>147621.21</v>
      </c>
      <c r="L32" s="4" t="s">
        <v>49</v>
      </c>
    </row>
    <row r="33" ht="15.75" customHeight="1">
      <c r="A33" s="6">
        <v>46204.0</v>
      </c>
      <c r="B33" s="4" t="s">
        <v>37</v>
      </c>
      <c r="C33" s="4" t="s">
        <v>539</v>
      </c>
      <c r="D33" s="4" t="s">
        <v>20</v>
      </c>
      <c r="E33" s="4"/>
      <c r="F33" s="4" t="s">
        <v>39</v>
      </c>
      <c r="G33" s="7">
        <v>5.0</v>
      </c>
      <c r="H33" s="8">
        <v>44946.0</v>
      </c>
      <c r="I33" s="9">
        <v>0.21</v>
      </c>
      <c r="J33" s="8">
        <f t="shared" si="1"/>
        <v>9438.66</v>
      </c>
      <c r="K33" s="8">
        <f t="shared" si="2"/>
        <v>54384.66</v>
      </c>
      <c r="L33" s="4" t="s">
        <v>40</v>
      </c>
    </row>
    <row r="34" ht="15.75" customHeight="1">
      <c r="A34" s="6">
        <v>46205.0</v>
      </c>
      <c r="B34" s="4" t="s">
        <v>37</v>
      </c>
      <c r="C34" s="4" t="s">
        <v>540</v>
      </c>
      <c r="D34" s="4" t="s">
        <v>56</v>
      </c>
      <c r="E34" s="4"/>
      <c r="F34" s="4" t="s">
        <v>46</v>
      </c>
      <c r="G34" s="7">
        <v>6.0</v>
      </c>
      <c r="H34" s="8">
        <v>57892.0</v>
      </c>
      <c r="I34" s="9">
        <v>0.21</v>
      </c>
      <c r="J34" s="8">
        <f t="shared" si="1"/>
        <v>12157.32</v>
      </c>
      <c r="K34" s="8">
        <f t="shared" si="2"/>
        <v>70049.32</v>
      </c>
      <c r="L34" s="4" t="s">
        <v>47</v>
      </c>
    </row>
    <row r="35" ht="15.75" customHeight="1">
      <c r="A35" s="6">
        <v>46206.0</v>
      </c>
      <c r="B35" s="4" t="s">
        <v>18</v>
      </c>
      <c r="C35" s="4" t="s">
        <v>543</v>
      </c>
      <c r="D35" s="4" t="s">
        <v>20</v>
      </c>
      <c r="E35" s="4" t="s">
        <v>544</v>
      </c>
      <c r="F35" s="4" t="s">
        <v>25</v>
      </c>
      <c r="G35" s="7">
        <v>1.0</v>
      </c>
      <c r="H35" s="8">
        <v>70838.0</v>
      </c>
      <c r="I35" s="9">
        <v>0.21</v>
      </c>
      <c r="J35" s="8">
        <f t="shared" si="1"/>
        <v>14875.98</v>
      </c>
      <c r="K35" s="8">
        <f t="shared" si="2"/>
        <v>85713.98</v>
      </c>
      <c r="L35" s="4" t="s">
        <v>36</v>
      </c>
    </row>
    <row r="36" ht="15.75" customHeight="1">
      <c r="A36" s="6">
        <v>46207.0</v>
      </c>
      <c r="B36" s="4" t="s">
        <v>37</v>
      </c>
      <c r="C36" s="4" t="s">
        <v>547</v>
      </c>
      <c r="D36" s="4" t="s">
        <v>42</v>
      </c>
      <c r="E36" s="4"/>
      <c r="F36" s="4" t="s">
        <v>22</v>
      </c>
      <c r="G36" s="7">
        <v>2.0</v>
      </c>
      <c r="H36" s="8">
        <v>83784.0</v>
      </c>
      <c r="I36" s="9">
        <v>0.21</v>
      </c>
      <c r="J36" s="8">
        <f t="shared" si="1"/>
        <v>17594.64</v>
      </c>
      <c r="K36" s="8">
        <f t="shared" si="2"/>
        <v>101378.64</v>
      </c>
      <c r="L36" s="4" t="s">
        <v>43</v>
      </c>
    </row>
    <row r="37" ht="15.75" customHeight="1">
      <c r="A37" s="6">
        <v>46208.0</v>
      </c>
      <c r="B37" s="4" t="s">
        <v>37</v>
      </c>
      <c r="C37" s="4" t="s">
        <v>549</v>
      </c>
      <c r="D37" s="4" t="s">
        <v>20</v>
      </c>
      <c r="E37" s="4"/>
      <c r="F37" s="4" t="s">
        <v>39</v>
      </c>
      <c r="G37" s="7">
        <v>3.0</v>
      </c>
      <c r="H37" s="8">
        <v>96730.0</v>
      </c>
      <c r="I37" s="9">
        <v>0.21</v>
      </c>
      <c r="J37" s="8">
        <f t="shared" si="1"/>
        <v>20313.3</v>
      </c>
      <c r="K37" s="8">
        <f t="shared" si="2"/>
        <v>117043.3</v>
      </c>
      <c r="L37" s="4" t="s">
        <v>49</v>
      </c>
    </row>
    <row r="38" ht="15.75" customHeight="1">
      <c r="A38" s="6">
        <v>46209.0</v>
      </c>
      <c r="B38" s="4" t="s">
        <v>37</v>
      </c>
      <c r="C38" s="4" t="s">
        <v>552</v>
      </c>
      <c r="D38" s="4" t="s">
        <v>54</v>
      </c>
      <c r="E38" s="4"/>
      <c r="F38" s="4" t="s">
        <v>46</v>
      </c>
      <c r="G38" s="7">
        <v>4.0</v>
      </c>
      <c r="H38" s="8">
        <v>109676.0</v>
      </c>
      <c r="I38" s="9">
        <v>0.21</v>
      </c>
      <c r="J38" s="8">
        <f t="shared" si="1"/>
        <v>23031.96</v>
      </c>
      <c r="K38" s="8">
        <f t="shared" si="2"/>
        <v>132707.96</v>
      </c>
      <c r="L38" s="4" t="s">
        <v>40</v>
      </c>
    </row>
    <row r="39" ht="15.75" customHeight="1">
      <c r="A39" s="6">
        <v>46210.0</v>
      </c>
      <c r="B39" s="4" t="s">
        <v>37</v>
      </c>
      <c r="C39" s="4" t="s">
        <v>554</v>
      </c>
      <c r="D39" s="4" t="s">
        <v>58</v>
      </c>
      <c r="E39" s="4"/>
      <c r="F39" s="4" t="s">
        <v>25</v>
      </c>
      <c r="G39" s="7">
        <v>5.0</v>
      </c>
      <c r="H39" s="8">
        <v>122622.0</v>
      </c>
      <c r="I39" s="9">
        <v>0.21</v>
      </c>
      <c r="J39" s="8">
        <f t="shared" si="1"/>
        <v>25750.62</v>
      </c>
      <c r="K39" s="8">
        <f t="shared" si="2"/>
        <v>148372.62</v>
      </c>
      <c r="L39" s="4" t="s">
        <v>47</v>
      </c>
    </row>
    <row r="40" ht="15.75" customHeight="1">
      <c r="A40" s="6">
        <v>46211.0</v>
      </c>
      <c r="B40" s="4" t="s">
        <v>37</v>
      </c>
      <c r="C40" s="4" t="s">
        <v>558</v>
      </c>
      <c r="D40" s="4" t="s">
        <v>20</v>
      </c>
      <c r="E40" s="4"/>
      <c r="F40" s="4" t="s">
        <v>22</v>
      </c>
      <c r="G40" s="7">
        <v>6.0</v>
      </c>
      <c r="H40" s="8">
        <v>45567.0</v>
      </c>
      <c r="I40" s="9">
        <v>0.21</v>
      </c>
      <c r="J40" s="8">
        <f t="shared" si="1"/>
        <v>9569.07</v>
      </c>
      <c r="K40" s="8">
        <f t="shared" si="2"/>
        <v>55136.07</v>
      </c>
      <c r="L40" s="4" t="s">
        <v>36</v>
      </c>
    </row>
    <row r="41" ht="15.75" customHeight="1">
      <c r="A41" s="6">
        <v>46212.0</v>
      </c>
      <c r="B41" s="4" t="s">
        <v>37</v>
      </c>
      <c r="C41" s="4" t="s">
        <v>561</v>
      </c>
      <c r="D41" s="4" t="s">
        <v>20</v>
      </c>
      <c r="E41" s="4"/>
      <c r="F41" s="4" t="s">
        <v>39</v>
      </c>
      <c r="G41" s="7">
        <v>1.0</v>
      </c>
      <c r="H41" s="8">
        <v>58513.0</v>
      </c>
      <c r="I41" s="9">
        <v>0.21</v>
      </c>
      <c r="J41" s="8">
        <f t="shared" si="1"/>
        <v>12287.73</v>
      </c>
      <c r="K41" s="8">
        <f t="shared" si="2"/>
        <v>70800.73</v>
      </c>
      <c r="L41" s="4" t="s">
        <v>43</v>
      </c>
    </row>
    <row r="42" ht="15.75" customHeight="1">
      <c r="A42" s="6">
        <v>46213.0</v>
      </c>
      <c r="B42" s="4" t="s">
        <v>37</v>
      </c>
      <c r="C42" s="4" t="s">
        <v>563</v>
      </c>
      <c r="D42" s="4" t="s">
        <v>20</v>
      </c>
      <c r="E42" s="4"/>
      <c r="F42" s="4" t="s">
        <v>46</v>
      </c>
      <c r="G42" s="7">
        <v>2.0</v>
      </c>
      <c r="H42" s="8">
        <v>71459.0</v>
      </c>
      <c r="I42" s="9">
        <v>0.21</v>
      </c>
      <c r="J42" s="8">
        <f t="shared" si="1"/>
        <v>15006.39</v>
      </c>
      <c r="K42" s="8">
        <f t="shared" si="2"/>
        <v>86465.39</v>
      </c>
      <c r="L42" s="4" t="s">
        <v>49</v>
      </c>
    </row>
    <row r="43" ht="15.75" customHeight="1">
      <c r="A43" s="6">
        <v>46214.0</v>
      </c>
      <c r="B43" s="4" t="s">
        <v>37</v>
      </c>
      <c r="C43" s="4" t="s">
        <v>566</v>
      </c>
      <c r="D43" s="4" t="s">
        <v>20</v>
      </c>
      <c r="E43" s="4"/>
      <c r="F43" s="4" t="s">
        <v>25</v>
      </c>
      <c r="G43" s="7">
        <v>3.0</v>
      </c>
      <c r="H43" s="8">
        <v>84405.0</v>
      </c>
      <c r="I43" s="9">
        <v>0.21</v>
      </c>
      <c r="J43" s="8">
        <f t="shared" si="1"/>
        <v>17725.05</v>
      </c>
      <c r="K43" s="8">
        <f t="shared" si="2"/>
        <v>102130.05</v>
      </c>
      <c r="L43" s="4" t="s">
        <v>40</v>
      </c>
    </row>
    <row r="44" ht="15.75" customHeight="1">
      <c r="A44" s="6">
        <v>46215.0</v>
      </c>
      <c r="B44" s="4" t="s">
        <v>37</v>
      </c>
      <c r="C44" s="4" t="s">
        <v>568</v>
      </c>
      <c r="D44" s="4" t="s">
        <v>45</v>
      </c>
      <c r="E44" s="4"/>
      <c r="F44" s="4" t="s">
        <v>22</v>
      </c>
      <c r="G44" s="7">
        <v>4.0</v>
      </c>
      <c r="H44" s="8">
        <v>97351.0</v>
      </c>
      <c r="I44" s="9">
        <v>0.21</v>
      </c>
      <c r="J44" s="8">
        <f t="shared" si="1"/>
        <v>20443.71</v>
      </c>
      <c r="K44" s="8">
        <f t="shared" si="2"/>
        <v>117794.71</v>
      </c>
      <c r="L44" s="4" t="s">
        <v>47</v>
      </c>
    </row>
    <row r="45" ht="15.75" customHeight="1">
      <c r="A45" s="6">
        <v>46216.0</v>
      </c>
      <c r="B45" s="4" t="s">
        <v>18</v>
      </c>
      <c r="C45" s="4" t="s">
        <v>571</v>
      </c>
      <c r="D45" s="4" t="s">
        <v>20</v>
      </c>
      <c r="E45" s="4" t="s">
        <v>572</v>
      </c>
      <c r="F45" s="4" t="s">
        <v>39</v>
      </c>
      <c r="G45" s="7">
        <v>5.0</v>
      </c>
      <c r="H45" s="8">
        <v>110297.0</v>
      </c>
      <c r="I45" s="9">
        <v>0.21</v>
      </c>
      <c r="J45" s="8">
        <f t="shared" si="1"/>
        <v>23162.37</v>
      </c>
      <c r="K45" s="8">
        <f t="shared" si="2"/>
        <v>133459.37</v>
      </c>
      <c r="L45" s="4" t="s">
        <v>36</v>
      </c>
    </row>
    <row r="46" ht="15.75" customHeight="1">
      <c r="A46" s="6">
        <v>46217.0</v>
      </c>
      <c r="B46" s="4" t="s">
        <v>37</v>
      </c>
      <c r="C46" s="4" t="s">
        <v>574</v>
      </c>
      <c r="D46" s="4" t="s">
        <v>56</v>
      </c>
      <c r="E46" s="4"/>
      <c r="F46" s="4" t="s">
        <v>46</v>
      </c>
      <c r="G46" s="7">
        <v>6.0</v>
      </c>
      <c r="H46" s="8">
        <v>123243.0</v>
      </c>
      <c r="I46" s="9">
        <v>0.21</v>
      </c>
      <c r="J46" s="8">
        <f t="shared" si="1"/>
        <v>25881.03</v>
      </c>
      <c r="K46" s="8">
        <f t="shared" si="2"/>
        <v>149124.03</v>
      </c>
      <c r="L46" s="4" t="s">
        <v>43</v>
      </c>
    </row>
    <row r="47" ht="15.75" customHeight="1">
      <c r="A47" s="6">
        <v>46218.0</v>
      </c>
      <c r="B47" s="4" t="s">
        <v>37</v>
      </c>
      <c r="C47" s="4" t="s">
        <v>578</v>
      </c>
      <c r="D47" s="4" t="s">
        <v>20</v>
      </c>
      <c r="E47" s="4"/>
      <c r="F47" s="4" t="s">
        <v>25</v>
      </c>
      <c r="G47" s="7">
        <v>1.0</v>
      </c>
      <c r="H47" s="8">
        <v>46188.0</v>
      </c>
      <c r="I47" s="9">
        <v>0.21</v>
      </c>
      <c r="J47" s="8">
        <f t="shared" si="1"/>
        <v>9699.48</v>
      </c>
      <c r="K47" s="8">
        <f t="shared" si="2"/>
        <v>55887.48</v>
      </c>
      <c r="L47" s="4" t="s">
        <v>49</v>
      </c>
    </row>
    <row r="48" ht="15.75" customHeight="1">
      <c r="A48" s="6">
        <v>46219.0</v>
      </c>
      <c r="B48" s="4" t="s">
        <v>37</v>
      </c>
      <c r="C48" s="4" t="s">
        <v>581</v>
      </c>
      <c r="D48" s="4" t="s">
        <v>42</v>
      </c>
      <c r="E48" s="4"/>
      <c r="F48" s="4" t="s">
        <v>22</v>
      </c>
      <c r="G48" s="7">
        <v>2.0</v>
      </c>
      <c r="H48" s="8">
        <v>59134.0</v>
      </c>
      <c r="I48" s="9">
        <v>0.21</v>
      </c>
      <c r="J48" s="8">
        <f t="shared" si="1"/>
        <v>12418.14</v>
      </c>
      <c r="K48" s="8">
        <f t="shared" si="2"/>
        <v>71552.14</v>
      </c>
      <c r="L48" s="4" t="s">
        <v>40</v>
      </c>
    </row>
    <row r="49" ht="15.75" customHeight="1">
      <c r="A49" s="6">
        <v>46220.0</v>
      </c>
      <c r="B49" s="4" t="s">
        <v>37</v>
      </c>
      <c r="C49" s="4" t="s">
        <v>582</v>
      </c>
      <c r="D49" s="4" t="s">
        <v>20</v>
      </c>
      <c r="E49" s="4"/>
      <c r="F49" s="4" t="s">
        <v>39</v>
      </c>
      <c r="G49" s="7">
        <v>3.0</v>
      </c>
      <c r="H49" s="8">
        <v>72080.0</v>
      </c>
      <c r="I49" s="9">
        <v>0.21</v>
      </c>
      <c r="J49" s="8">
        <f t="shared" si="1"/>
        <v>15136.8</v>
      </c>
      <c r="K49" s="8">
        <f t="shared" si="2"/>
        <v>87216.8</v>
      </c>
      <c r="L49" s="4" t="s">
        <v>47</v>
      </c>
    </row>
    <row r="50" ht="15.75" customHeight="1">
      <c r="A50" s="6">
        <v>46221.0</v>
      </c>
      <c r="B50" s="4" t="s">
        <v>37</v>
      </c>
      <c r="C50" s="4" t="s">
        <v>583</v>
      </c>
      <c r="D50" s="4" t="s">
        <v>54</v>
      </c>
      <c r="E50" s="4"/>
      <c r="F50" s="4" t="s">
        <v>46</v>
      </c>
      <c r="G50" s="7">
        <v>4.0</v>
      </c>
      <c r="H50" s="8">
        <v>85026.0</v>
      </c>
      <c r="I50" s="9">
        <v>0.21</v>
      </c>
      <c r="J50" s="8">
        <f t="shared" si="1"/>
        <v>17855.46</v>
      </c>
      <c r="K50" s="8">
        <f t="shared" si="2"/>
        <v>102881.46</v>
      </c>
      <c r="L50" s="4" t="s">
        <v>36</v>
      </c>
    </row>
    <row r="51" ht="15.75" customHeight="1">
      <c r="A51" s="6">
        <v>46222.0</v>
      </c>
      <c r="B51" s="4" t="s">
        <v>37</v>
      </c>
      <c r="C51" s="4" t="s">
        <v>584</v>
      </c>
      <c r="D51" s="4" t="s">
        <v>58</v>
      </c>
      <c r="E51" s="4"/>
      <c r="F51" s="4" t="s">
        <v>25</v>
      </c>
      <c r="G51" s="7">
        <v>5.0</v>
      </c>
      <c r="H51" s="8">
        <v>97972.0</v>
      </c>
      <c r="I51" s="9">
        <v>0.21</v>
      </c>
      <c r="J51" s="8">
        <f t="shared" si="1"/>
        <v>20574.12</v>
      </c>
      <c r="K51" s="8">
        <f t="shared" si="2"/>
        <v>118546.12</v>
      </c>
      <c r="L51" s="4" t="s">
        <v>43</v>
      </c>
    </row>
    <row r="52" ht="15.75" customHeight="1">
      <c r="A52" s="6">
        <v>46223.0</v>
      </c>
      <c r="B52" s="4" t="s">
        <v>37</v>
      </c>
      <c r="C52" s="4" t="s">
        <v>585</v>
      </c>
      <c r="D52" s="4" t="s">
        <v>20</v>
      </c>
      <c r="E52" s="4"/>
      <c r="F52" s="4" t="s">
        <v>22</v>
      </c>
      <c r="G52" s="7">
        <v>6.0</v>
      </c>
      <c r="H52" s="8">
        <v>110918.0</v>
      </c>
      <c r="I52" s="9">
        <v>0.21</v>
      </c>
      <c r="J52" s="8">
        <f t="shared" si="1"/>
        <v>23292.78</v>
      </c>
      <c r="K52" s="8">
        <f t="shared" si="2"/>
        <v>134210.78</v>
      </c>
      <c r="L52" s="4" t="s">
        <v>49</v>
      </c>
    </row>
    <row r="53" ht="15.75" customHeight="1">
      <c r="A53" s="6">
        <v>46224.0</v>
      </c>
      <c r="B53" s="4" t="s">
        <v>37</v>
      </c>
      <c r="C53" s="4" t="s">
        <v>586</v>
      </c>
      <c r="D53" s="4" t="s">
        <v>20</v>
      </c>
      <c r="E53" s="4"/>
      <c r="F53" s="4" t="s">
        <v>39</v>
      </c>
      <c r="G53" s="7">
        <v>1.0</v>
      </c>
      <c r="H53" s="8">
        <v>123864.0</v>
      </c>
      <c r="I53" s="9">
        <v>0.21</v>
      </c>
      <c r="J53" s="8">
        <f t="shared" si="1"/>
        <v>26011.44</v>
      </c>
      <c r="K53" s="8">
        <f t="shared" si="2"/>
        <v>149875.44</v>
      </c>
      <c r="L53" s="4" t="s">
        <v>40</v>
      </c>
    </row>
    <row r="54" ht="15.75" customHeight="1">
      <c r="A54" s="6">
        <v>46225.0</v>
      </c>
      <c r="B54" s="4" t="s">
        <v>37</v>
      </c>
      <c r="C54" s="4" t="s">
        <v>587</v>
      </c>
      <c r="D54" s="4" t="s">
        <v>20</v>
      </c>
      <c r="E54" s="4"/>
      <c r="F54" s="4" t="s">
        <v>46</v>
      </c>
      <c r="G54" s="7">
        <v>2.0</v>
      </c>
      <c r="H54" s="8">
        <v>46809.0</v>
      </c>
      <c r="I54" s="9">
        <v>0.21</v>
      </c>
      <c r="J54" s="8">
        <f t="shared" si="1"/>
        <v>9829.89</v>
      </c>
      <c r="K54" s="8">
        <f t="shared" si="2"/>
        <v>56638.89</v>
      </c>
      <c r="L54" s="4" t="s">
        <v>47</v>
      </c>
    </row>
    <row r="55" ht="15.75" customHeight="1">
      <c r="A55" s="6">
        <v>46226.0</v>
      </c>
      <c r="B55" s="4" t="s">
        <v>18</v>
      </c>
      <c r="C55" s="4" t="s">
        <v>588</v>
      </c>
      <c r="D55" s="4" t="s">
        <v>20</v>
      </c>
      <c r="E55" s="4" t="s">
        <v>589</v>
      </c>
      <c r="F55" s="4" t="s">
        <v>25</v>
      </c>
      <c r="G55" s="7">
        <v>3.0</v>
      </c>
      <c r="H55" s="8">
        <v>59755.0</v>
      </c>
      <c r="I55" s="9">
        <v>0.21</v>
      </c>
      <c r="J55" s="8">
        <f t="shared" si="1"/>
        <v>12548.55</v>
      </c>
      <c r="K55" s="8">
        <f t="shared" si="2"/>
        <v>72303.55</v>
      </c>
      <c r="L55" s="4" t="s">
        <v>36</v>
      </c>
    </row>
    <row r="56" ht="15.75" customHeight="1">
      <c r="A56" s="6">
        <v>46227.0</v>
      </c>
      <c r="B56" s="4" t="s">
        <v>37</v>
      </c>
      <c r="C56" s="4" t="s">
        <v>590</v>
      </c>
      <c r="D56" s="4" t="s">
        <v>45</v>
      </c>
      <c r="E56" s="4"/>
      <c r="F56" s="4" t="s">
        <v>22</v>
      </c>
      <c r="G56" s="7">
        <v>4.0</v>
      </c>
      <c r="H56" s="8">
        <v>72701.0</v>
      </c>
      <c r="I56" s="9">
        <v>0.21</v>
      </c>
      <c r="J56" s="8">
        <f t="shared" si="1"/>
        <v>15267.21</v>
      </c>
      <c r="K56" s="8">
        <f t="shared" si="2"/>
        <v>87968.21</v>
      </c>
      <c r="L56" s="4" t="s">
        <v>43</v>
      </c>
    </row>
    <row r="57" ht="15.75" customHeight="1">
      <c r="A57" s="6">
        <v>46228.0</v>
      </c>
      <c r="B57" s="4" t="s">
        <v>37</v>
      </c>
      <c r="C57" s="4" t="s">
        <v>591</v>
      </c>
      <c r="D57" s="4" t="s">
        <v>20</v>
      </c>
      <c r="E57" s="4"/>
      <c r="F57" s="4" t="s">
        <v>39</v>
      </c>
      <c r="G57" s="7">
        <v>5.0</v>
      </c>
      <c r="H57" s="8">
        <v>85647.0</v>
      </c>
      <c r="I57" s="9">
        <v>0.21</v>
      </c>
      <c r="J57" s="8">
        <f t="shared" si="1"/>
        <v>17985.87</v>
      </c>
      <c r="K57" s="8">
        <f t="shared" si="2"/>
        <v>103632.87</v>
      </c>
      <c r="L57" s="4" t="s">
        <v>49</v>
      </c>
    </row>
    <row r="58" ht="15.75" customHeight="1">
      <c r="A58" s="6">
        <v>46229.0</v>
      </c>
      <c r="B58" s="4" t="s">
        <v>37</v>
      </c>
      <c r="C58" s="4" t="s">
        <v>593</v>
      </c>
      <c r="D58" s="4" t="s">
        <v>56</v>
      </c>
      <c r="E58" s="4"/>
      <c r="F58" s="4" t="s">
        <v>46</v>
      </c>
      <c r="G58" s="7">
        <v>6.0</v>
      </c>
      <c r="H58" s="8">
        <v>98593.0</v>
      </c>
      <c r="I58" s="9">
        <v>0.21</v>
      </c>
      <c r="J58" s="8">
        <f t="shared" si="1"/>
        <v>20704.53</v>
      </c>
      <c r="K58" s="8">
        <f t="shared" si="2"/>
        <v>119297.53</v>
      </c>
      <c r="L58" s="4" t="s">
        <v>40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6" width="28.0"/>
    <col customWidth="1" min="7" max="7" width="9.88"/>
    <col customWidth="1" min="8" max="8" width="9.0"/>
    <col customWidth="1" min="9" max="9" width="8.5"/>
    <col customWidth="1" min="10" max="10" width="9.38"/>
    <col customWidth="1" min="11" max="11" width="19.0"/>
    <col customWidth="1" min="12" max="26" width="8.63"/>
  </cols>
  <sheetData>
    <row r="1" ht="30.0" customHeight="1">
      <c r="A1" s="3" t="s">
        <v>469</v>
      </c>
    </row>
    <row r="2">
      <c r="A2" s="2" t="s">
        <v>14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31.5" customHeight="1">
      <c r="A4" s="5" t="s">
        <v>5</v>
      </c>
      <c r="B4" s="5" t="s">
        <v>26</v>
      </c>
      <c r="C4" s="5" t="s">
        <v>27</v>
      </c>
      <c r="D4" s="5" t="s">
        <v>6</v>
      </c>
      <c r="E4" s="5" t="s">
        <v>28</v>
      </c>
      <c r="F4" s="5" t="s">
        <v>29</v>
      </c>
      <c r="G4" s="5" t="s">
        <v>12</v>
      </c>
      <c r="H4" s="5" t="s">
        <v>13</v>
      </c>
      <c r="I4" s="5" t="s">
        <v>30</v>
      </c>
      <c r="J4" s="5" t="s">
        <v>16</v>
      </c>
      <c r="K4" s="5" t="s">
        <v>31</v>
      </c>
    </row>
    <row r="5">
      <c r="A5" s="6">
        <v>46205.0</v>
      </c>
      <c r="B5" s="4" t="s">
        <v>32</v>
      </c>
      <c r="C5" s="4" t="s">
        <v>33</v>
      </c>
      <c r="D5" s="4" t="s">
        <v>18</v>
      </c>
      <c r="E5" s="4" t="s">
        <v>34</v>
      </c>
      <c r="F5" s="4" t="s">
        <v>35</v>
      </c>
      <c r="G5" s="8">
        <v>120118.0</v>
      </c>
      <c r="H5" s="9">
        <v>0.105</v>
      </c>
      <c r="I5" s="8">
        <f t="shared" ref="I5:I22" si="1">ROUND(G5*H5,2)</f>
        <v>12612.39</v>
      </c>
      <c r="J5" s="8">
        <f t="shared" ref="J5:J22" si="2">ROUND(G5+I5,2)</f>
        <v>132730.39</v>
      </c>
      <c r="K5" s="4" t="s">
        <v>36</v>
      </c>
    </row>
    <row r="6">
      <c r="A6" s="6">
        <v>46208.0</v>
      </c>
      <c r="B6" s="4" t="s">
        <v>51</v>
      </c>
      <c r="C6" s="4" t="s">
        <v>53</v>
      </c>
      <c r="D6" s="4" t="s">
        <v>37</v>
      </c>
      <c r="E6" s="4" t="s">
        <v>34</v>
      </c>
      <c r="F6" s="4" t="s">
        <v>35</v>
      </c>
      <c r="G6" s="8">
        <v>179799.0</v>
      </c>
      <c r="H6" s="9">
        <v>0.105</v>
      </c>
      <c r="I6" s="8">
        <f t="shared" si="1"/>
        <v>18878.9</v>
      </c>
      <c r="J6" s="8">
        <f t="shared" si="2"/>
        <v>198677.9</v>
      </c>
      <c r="K6" s="4" t="s">
        <v>49</v>
      </c>
    </row>
    <row r="7">
      <c r="A7" s="6">
        <v>46211.0</v>
      </c>
      <c r="B7" s="4" t="s">
        <v>62</v>
      </c>
      <c r="C7" s="4" t="s">
        <v>63</v>
      </c>
      <c r="D7" s="4" t="s">
        <v>37</v>
      </c>
      <c r="E7" s="4" t="s">
        <v>65</v>
      </c>
      <c r="F7" s="4" t="s">
        <v>67</v>
      </c>
      <c r="G7" s="8">
        <v>49002.0</v>
      </c>
      <c r="H7" s="9">
        <v>0.21</v>
      </c>
      <c r="I7" s="8">
        <f t="shared" si="1"/>
        <v>10290.42</v>
      </c>
      <c r="J7" s="8">
        <f t="shared" si="2"/>
        <v>59292.42</v>
      </c>
      <c r="K7" s="4" t="s">
        <v>47</v>
      </c>
    </row>
    <row r="8">
      <c r="A8" s="6">
        <v>46214.0</v>
      </c>
      <c r="B8" s="4" t="s">
        <v>72</v>
      </c>
      <c r="C8" s="4" t="s">
        <v>73</v>
      </c>
      <c r="D8" s="4" t="s">
        <v>18</v>
      </c>
      <c r="E8" s="4" t="s">
        <v>65</v>
      </c>
      <c r="F8" s="4" t="s">
        <v>67</v>
      </c>
      <c r="G8" s="8">
        <v>71460.0</v>
      </c>
      <c r="H8" s="9">
        <v>0.21</v>
      </c>
      <c r="I8" s="8">
        <f t="shared" si="1"/>
        <v>15006.6</v>
      </c>
      <c r="J8" s="8">
        <f t="shared" si="2"/>
        <v>86466.6</v>
      </c>
      <c r="K8" s="4" t="s">
        <v>43</v>
      </c>
    </row>
    <row r="9">
      <c r="A9" s="6">
        <v>46217.0</v>
      </c>
      <c r="B9" s="4" t="s">
        <v>77</v>
      </c>
      <c r="C9" s="4" t="s">
        <v>78</v>
      </c>
      <c r="D9" s="4" t="s">
        <v>37</v>
      </c>
      <c r="E9" s="4" t="s">
        <v>79</v>
      </c>
      <c r="F9" s="4" t="s">
        <v>81</v>
      </c>
      <c r="G9" s="8">
        <v>128298.0</v>
      </c>
      <c r="H9" s="9">
        <v>0.21</v>
      </c>
      <c r="I9" s="8">
        <f t="shared" si="1"/>
        <v>26942.58</v>
      </c>
      <c r="J9" s="8">
        <f t="shared" si="2"/>
        <v>155240.58</v>
      </c>
      <c r="K9" s="4" t="s">
        <v>40</v>
      </c>
    </row>
    <row r="10">
      <c r="A10" s="6">
        <v>46220.0</v>
      </c>
      <c r="B10" s="4" t="s">
        <v>84</v>
      </c>
      <c r="C10" s="4" t="s">
        <v>85</v>
      </c>
      <c r="D10" s="4" t="s">
        <v>37</v>
      </c>
      <c r="E10" s="4" t="s">
        <v>86</v>
      </c>
      <c r="F10" s="4" t="s">
        <v>88</v>
      </c>
      <c r="G10" s="8">
        <v>94633.0</v>
      </c>
      <c r="H10" s="9">
        <v>0.21</v>
      </c>
      <c r="I10" s="8">
        <f t="shared" si="1"/>
        <v>19872.93</v>
      </c>
      <c r="J10" s="8">
        <f t="shared" si="2"/>
        <v>114505.93</v>
      </c>
      <c r="K10" s="4" t="s">
        <v>36</v>
      </c>
    </row>
    <row r="11">
      <c r="A11" s="6">
        <v>46223.0</v>
      </c>
      <c r="B11" s="4" t="s">
        <v>90</v>
      </c>
      <c r="C11" s="4" t="s">
        <v>91</v>
      </c>
      <c r="D11" s="4" t="s">
        <v>18</v>
      </c>
      <c r="E11" s="4" t="s">
        <v>94</v>
      </c>
      <c r="F11" s="4" t="s">
        <v>95</v>
      </c>
      <c r="G11" s="8">
        <v>25989.0</v>
      </c>
      <c r="H11" s="9">
        <v>0.21</v>
      </c>
      <c r="I11" s="8">
        <f t="shared" si="1"/>
        <v>5457.69</v>
      </c>
      <c r="J11" s="8">
        <f t="shared" si="2"/>
        <v>31446.69</v>
      </c>
      <c r="K11" s="4" t="s">
        <v>49</v>
      </c>
    </row>
    <row r="12">
      <c r="A12" s="6">
        <v>46226.0</v>
      </c>
      <c r="B12" s="4" t="s">
        <v>97</v>
      </c>
      <c r="C12" s="4" t="s">
        <v>98</v>
      </c>
      <c r="D12" s="4" t="s">
        <v>37</v>
      </c>
      <c r="E12" s="4" t="s">
        <v>100</v>
      </c>
      <c r="F12" s="4" t="s">
        <v>101</v>
      </c>
      <c r="G12" s="8">
        <v>38609.0</v>
      </c>
      <c r="H12" s="9">
        <v>0.21</v>
      </c>
      <c r="I12" s="8">
        <f t="shared" si="1"/>
        <v>8107.89</v>
      </c>
      <c r="J12" s="8">
        <f t="shared" si="2"/>
        <v>46716.89</v>
      </c>
      <c r="K12" s="4" t="s">
        <v>47</v>
      </c>
    </row>
    <row r="13">
      <c r="A13" s="6">
        <v>46229.0</v>
      </c>
      <c r="B13" s="4" t="s">
        <v>103</v>
      </c>
      <c r="C13" s="4" t="s">
        <v>104</v>
      </c>
      <c r="D13" s="4" t="s">
        <v>37</v>
      </c>
      <c r="E13" s="4" t="s">
        <v>106</v>
      </c>
      <c r="F13" s="4" t="s">
        <v>107</v>
      </c>
      <c r="G13" s="8">
        <v>49117.0</v>
      </c>
      <c r="H13" s="9">
        <v>0.21</v>
      </c>
      <c r="I13" s="8">
        <f t="shared" si="1"/>
        <v>10314.57</v>
      </c>
      <c r="J13" s="8">
        <f t="shared" si="2"/>
        <v>59431.57</v>
      </c>
      <c r="K13" s="4" t="s">
        <v>43</v>
      </c>
    </row>
    <row r="14">
      <c r="A14" s="6">
        <v>46205.0</v>
      </c>
      <c r="B14" s="4" t="s">
        <v>111</v>
      </c>
      <c r="C14" s="4" t="s">
        <v>112</v>
      </c>
      <c r="D14" s="4" t="s">
        <v>18</v>
      </c>
      <c r="E14" s="4" t="s">
        <v>113</v>
      </c>
      <c r="F14" s="4" t="s">
        <v>114</v>
      </c>
      <c r="G14" s="8">
        <v>116072.0</v>
      </c>
      <c r="H14" s="9">
        <v>0.21</v>
      </c>
      <c r="I14" s="8">
        <f t="shared" si="1"/>
        <v>24375.12</v>
      </c>
      <c r="J14" s="8">
        <f t="shared" si="2"/>
        <v>140447.12</v>
      </c>
      <c r="K14" s="4" t="s">
        <v>40</v>
      </c>
    </row>
    <row r="15">
      <c r="A15" s="6">
        <v>46208.0</v>
      </c>
      <c r="B15" s="4" t="s">
        <v>118</v>
      </c>
      <c r="C15" s="4" t="s">
        <v>119</v>
      </c>
      <c r="D15" s="4" t="s">
        <v>37</v>
      </c>
      <c r="E15" s="4" t="s">
        <v>123</v>
      </c>
      <c r="F15" s="4" t="s">
        <v>124</v>
      </c>
      <c r="G15" s="8">
        <v>38020.0</v>
      </c>
      <c r="H15" s="9">
        <v>0.21</v>
      </c>
      <c r="I15" s="8">
        <f t="shared" si="1"/>
        <v>7984.2</v>
      </c>
      <c r="J15" s="8">
        <f t="shared" si="2"/>
        <v>46004.2</v>
      </c>
      <c r="K15" s="4" t="s">
        <v>36</v>
      </c>
    </row>
    <row r="16">
      <c r="A16" s="6">
        <v>46211.0</v>
      </c>
      <c r="B16" s="4" t="s">
        <v>127</v>
      </c>
      <c r="C16" s="4" t="s">
        <v>128</v>
      </c>
      <c r="D16" s="4" t="s">
        <v>37</v>
      </c>
      <c r="E16" s="4" t="s">
        <v>130</v>
      </c>
      <c r="F16" s="4" t="s">
        <v>131</v>
      </c>
      <c r="G16" s="8">
        <v>59791.0</v>
      </c>
      <c r="H16" s="9">
        <v>0.21</v>
      </c>
      <c r="I16" s="8">
        <f t="shared" si="1"/>
        <v>12556.11</v>
      </c>
      <c r="J16" s="8">
        <f t="shared" si="2"/>
        <v>72347.11</v>
      </c>
      <c r="K16" s="4" t="s">
        <v>49</v>
      </c>
    </row>
    <row r="17">
      <c r="A17" s="6">
        <v>46214.0</v>
      </c>
      <c r="B17" s="4" t="s">
        <v>134</v>
      </c>
      <c r="C17" s="4" t="s">
        <v>136</v>
      </c>
      <c r="D17" s="4" t="s">
        <v>18</v>
      </c>
      <c r="E17" s="4" t="s">
        <v>130</v>
      </c>
      <c r="F17" s="4" t="s">
        <v>131</v>
      </c>
      <c r="G17" s="8">
        <v>44374.0</v>
      </c>
      <c r="H17" s="9">
        <v>0.21</v>
      </c>
      <c r="I17" s="8">
        <f t="shared" si="1"/>
        <v>9318.54</v>
      </c>
      <c r="J17" s="8">
        <f t="shared" si="2"/>
        <v>53692.54</v>
      </c>
      <c r="K17" s="4" t="s">
        <v>47</v>
      </c>
    </row>
    <row r="18">
      <c r="A18" s="6">
        <v>46217.0</v>
      </c>
      <c r="B18" s="4" t="s">
        <v>141</v>
      </c>
      <c r="C18" s="4" t="s">
        <v>142</v>
      </c>
      <c r="D18" s="4" t="s">
        <v>37</v>
      </c>
      <c r="E18" s="4" t="s">
        <v>143</v>
      </c>
      <c r="F18" s="4" t="s">
        <v>144</v>
      </c>
      <c r="G18" s="8">
        <v>46475.0</v>
      </c>
      <c r="H18" s="9">
        <v>0.21</v>
      </c>
      <c r="I18" s="8">
        <f t="shared" si="1"/>
        <v>9759.75</v>
      </c>
      <c r="J18" s="8">
        <f t="shared" si="2"/>
        <v>56234.75</v>
      </c>
      <c r="K18" s="4" t="s">
        <v>43</v>
      </c>
    </row>
    <row r="19">
      <c r="A19" s="6">
        <v>46220.0</v>
      </c>
      <c r="B19" s="4" t="s">
        <v>147</v>
      </c>
      <c r="C19" s="4" t="s">
        <v>148</v>
      </c>
      <c r="D19" s="4" t="s">
        <v>37</v>
      </c>
      <c r="E19" s="4" t="s">
        <v>143</v>
      </c>
      <c r="F19" s="4" t="s">
        <v>144</v>
      </c>
      <c r="G19" s="8">
        <v>15518.0</v>
      </c>
      <c r="H19" s="9">
        <v>0.21</v>
      </c>
      <c r="I19" s="8">
        <f t="shared" si="1"/>
        <v>3258.78</v>
      </c>
      <c r="J19" s="8">
        <f t="shared" si="2"/>
        <v>18776.78</v>
      </c>
      <c r="K19" s="4" t="s">
        <v>40</v>
      </c>
    </row>
    <row r="20">
      <c r="A20" s="6">
        <v>46223.0</v>
      </c>
      <c r="B20" s="4" t="s">
        <v>151</v>
      </c>
      <c r="C20" s="4" t="s">
        <v>152</v>
      </c>
      <c r="D20" s="4" t="s">
        <v>18</v>
      </c>
      <c r="E20" s="4" t="s">
        <v>130</v>
      </c>
      <c r="F20" s="4" t="s">
        <v>131</v>
      </c>
      <c r="G20" s="8">
        <v>19937.0</v>
      </c>
      <c r="H20" s="9">
        <v>0.21</v>
      </c>
      <c r="I20" s="8">
        <f t="shared" si="1"/>
        <v>4186.77</v>
      </c>
      <c r="J20" s="8">
        <f t="shared" si="2"/>
        <v>24123.77</v>
      </c>
      <c r="K20" s="4" t="s">
        <v>36</v>
      </c>
    </row>
    <row r="21" ht="15.75" customHeight="1">
      <c r="A21" s="6">
        <v>46226.0</v>
      </c>
      <c r="B21" s="4" t="s">
        <v>155</v>
      </c>
      <c r="C21" s="4" t="s">
        <v>156</v>
      </c>
      <c r="D21" s="4" t="s">
        <v>37</v>
      </c>
      <c r="E21" s="4" t="s">
        <v>123</v>
      </c>
      <c r="F21" s="4" t="s">
        <v>124</v>
      </c>
      <c r="G21" s="8">
        <v>28281.0</v>
      </c>
      <c r="H21" s="9">
        <v>0.21</v>
      </c>
      <c r="I21" s="8">
        <f t="shared" si="1"/>
        <v>5939.01</v>
      </c>
      <c r="J21" s="8">
        <f t="shared" si="2"/>
        <v>34220.01</v>
      </c>
      <c r="K21" s="4" t="s">
        <v>49</v>
      </c>
    </row>
    <row r="22" ht="15.75" customHeight="1">
      <c r="A22" s="6">
        <v>46229.0</v>
      </c>
      <c r="B22" s="4" t="s">
        <v>160</v>
      </c>
      <c r="C22" s="4" t="s">
        <v>161</v>
      </c>
      <c r="D22" s="4" t="s">
        <v>37</v>
      </c>
      <c r="E22" s="4" t="s">
        <v>162</v>
      </c>
      <c r="F22" s="4" t="s">
        <v>163</v>
      </c>
      <c r="G22" s="8">
        <v>10711.0</v>
      </c>
      <c r="H22" s="9">
        <v>0.21</v>
      </c>
      <c r="I22" s="8">
        <f t="shared" si="1"/>
        <v>2249.31</v>
      </c>
      <c r="J22" s="8">
        <f t="shared" si="2"/>
        <v>12960.31</v>
      </c>
      <c r="K22" s="4" t="s">
        <v>47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2" width="16.0"/>
    <col customWidth="1" min="3" max="3" width="11.25"/>
    <col customWidth="1" min="4" max="6" width="27.0"/>
    <col customWidth="1" min="7" max="7" width="6.75"/>
    <col customWidth="1" min="8" max="8" width="9.88"/>
    <col customWidth="1" min="9" max="9" width="9.0"/>
    <col customWidth="1" min="10" max="10" width="8.5"/>
    <col customWidth="1" min="11" max="11" width="9.38"/>
    <col customWidth="1" min="12" max="12" width="19.0"/>
    <col customWidth="1" min="13" max="26" width="8.63"/>
  </cols>
  <sheetData>
    <row r="1" ht="30.0" customHeight="1">
      <c r="A1" s="1" t="s">
        <v>471</v>
      </c>
    </row>
    <row r="2">
      <c r="A2" s="2" t="s">
        <v>4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31.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15</v>
      </c>
      <c r="K4" s="5" t="s">
        <v>16</v>
      </c>
      <c r="L4" s="5" t="s">
        <v>17</v>
      </c>
    </row>
    <row r="5">
      <c r="A5" s="6">
        <v>46235.0</v>
      </c>
      <c r="B5" s="4" t="s">
        <v>18</v>
      </c>
      <c r="C5" s="4" t="s">
        <v>474</v>
      </c>
      <c r="D5" s="4" t="s">
        <v>42</v>
      </c>
      <c r="E5" s="4" t="s">
        <v>475</v>
      </c>
      <c r="F5" s="4" t="s">
        <v>46</v>
      </c>
      <c r="G5" s="7">
        <v>1.0</v>
      </c>
      <c r="H5" s="8">
        <v>43083.0</v>
      </c>
      <c r="I5" s="9">
        <v>0.21</v>
      </c>
      <c r="J5" s="8">
        <f t="shared" ref="J5:J58" si="1">ROUND(H5*I5,2)</f>
        <v>9047.43</v>
      </c>
      <c r="K5" s="8">
        <f t="shared" ref="K5:K58" si="2">ROUND(H5+J5,2)</f>
        <v>52130.43</v>
      </c>
      <c r="L5" s="4" t="s">
        <v>49</v>
      </c>
    </row>
    <row r="6">
      <c r="A6" s="6">
        <v>46236.0</v>
      </c>
      <c r="B6" s="4" t="s">
        <v>37</v>
      </c>
      <c r="C6" s="4" t="s">
        <v>477</v>
      </c>
      <c r="D6" s="4" t="s">
        <v>20</v>
      </c>
      <c r="E6" s="4"/>
      <c r="F6" s="4" t="s">
        <v>25</v>
      </c>
      <c r="G6" s="7">
        <v>2.0</v>
      </c>
      <c r="H6" s="8">
        <v>56029.0</v>
      </c>
      <c r="I6" s="9">
        <v>0.21</v>
      </c>
      <c r="J6" s="8">
        <f t="shared" si="1"/>
        <v>11766.09</v>
      </c>
      <c r="K6" s="8">
        <f t="shared" si="2"/>
        <v>67795.09</v>
      </c>
      <c r="L6" s="4" t="s">
        <v>40</v>
      </c>
    </row>
    <row r="7">
      <c r="A7" s="6">
        <v>46237.0</v>
      </c>
      <c r="B7" s="4" t="s">
        <v>37</v>
      </c>
      <c r="C7" s="4" t="s">
        <v>479</v>
      </c>
      <c r="D7" s="4" t="s">
        <v>54</v>
      </c>
      <c r="E7" s="4"/>
      <c r="F7" s="4" t="s">
        <v>22</v>
      </c>
      <c r="G7" s="7">
        <v>3.0</v>
      </c>
      <c r="H7" s="8">
        <v>68975.0</v>
      </c>
      <c r="I7" s="9">
        <v>0.21</v>
      </c>
      <c r="J7" s="8">
        <f t="shared" si="1"/>
        <v>14484.75</v>
      </c>
      <c r="K7" s="8">
        <f t="shared" si="2"/>
        <v>83459.75</v>
      </c>
      <c r="L7" s="4" t="s">
        <v>47</v>
      </c>
    </row>
    <row r="8">
      <c r="A8" s="6">
        <v>46238.0</v>
      </c>
      <c r="B8" s="4" t="s">
        <v>37</v>
      </c>
      <c r="C8" s="4" t="s">
        <v>481</v>
      </c>
      <c r="D8" s="4" t="s">
        <v>58</v>
      </c>
      <c r="E8" s="4"/>
      <c r="F8" s="4" t="s">
        <v>39</v>
      </c>
      <c r="G8" s="7">
        <v>4.0</v>
      </c>
      <c r="H8" s="8">
        <v>81921.0</v>
      </c>
      <c r="I8" s="9">
        <v>0.21</v>
      </c>
      <c r="J8" s="8">
        <f t="shared" si="1"/>
        <v>17203.41</v>
      </c>
      <c r="K8" s="8">
        <f t="shared" si="2"/>
        <v>99124.41</v>
      </c>
      <c r="L8" s="4" t="s">
        <v>36</v>
      </c>
    </row>
    <row r="9">
      <c r="A9" s="6">
        <v>46239.0</v>
      </c>
      <c r="B9" s="4" t="s">
        <v>37</v>
      </c>
      <c r="C9" s="4" t="s">
        <v>483</v>
      </c>
      <c r="D9" s="4" t="s">
        <v>20</v>
      </c>
      <c r="E9" s="4"/>
      <c r="F9" s="4" t="s">
        <v>46</v>
      </c>
      <c r="G9" s="7">
        <v>5.0</v>
      </c>
      <c r="H9" s="8">
        <v>94867.0</v>
      </c>
      <c r="I9" s="9">
        <v>0.21</v>
      </c>
      <c r="J9" s="8">
        <f t="shared" si="1"/>
        <v>19922.07</v>
      </c>
      <c r="K9" s="8">
        <f t="shared" si="2"/>
        <v>114789.07</v>
      </c>
      <c r="L9" s="4" t="s">
        <v>43</v>
      </c>
    </row>
    <row r="10">
      <c r="A10" s="6">
        <v>46240.0</v>
      </c>
      <c r="B10" s="4" t="s">
        <v>37</v>
      </c>
      <c r="C10" s="4" t="s">
        <v>485</v>
      </c>
      <c r="D10" s="4" t="s">
        <v>20</v>
      </c>
      <c r="E10" s="4"/>
      <c r="F10" s="4" t="s">
        <v>25</v>
      </c>
      <c r="G10" s="7">
        <v>6.0</v>
      </c>
      <c r="H10" s="8">
        <v>107813.0</v>
      </c>
      <c r="I10" s="9">
        <v>0.21</v>
      </c>
      <c r="J10" s="8">
        <f t="shared" si="1"/>
        <v>22640.73</v>
      </c>
      <c r="K10" s="8">
        <f t="shared" si="2"/>
        <v>130453.73</v>
      </c>
      <c r="L10" s="4" t="s">
        <v>49</v>
      </c>
    </row>
    <row r="11">
      <c r="A11" s="6">
        <v>46241.0</v>
      </c>
      <c r="B11" s="4" t="s">
        <v>37</v>
      </c>
      <c r="C11" s="4" t="s">
        <v>487</v>
      </c>
      <c r="D11" s="4" t="s">
        <v>20</v>
      </c>
      <c r="E11" s="4"/>
      <c r="F11" s="4" t="s">
        <v>22</v>
      </c>
      <c r="G11" s="7">
        <v>1.0</v>
      </c>
      <c r="H11" s="8">
        <v>120759.0</v>
      </c>
      <c r="I11" s="9">
        <v>0.21</v>
      </c>
      <c r="J11" s="8">
        <f t="shared" si="1"/>
        <v>25359.39</v>
      </c>
      <c r="K11" s="8">
        <f t="shared" si="2"/>
        <v>146118.39</v>
      </c>
      <c r="L11" s="4" t="s">
        <v>40</v>
      </c>
    </row>
    <row r="12">
      <c r="A12" s="6">
        <v>46242.0</v>
      </c>
      <c r="B12" s="4" t="s">
        <v>37</v>
      </c>
      <c r="C12" s="4" t="s">
        <v>489</v>
      </c>
      <c r="D12" s="4" t="s">
        <v>20</v>
      </c>
      <c r="E12" s="4"/>
      <c r="F12" s="4" t="s">
        <v>39</v>
      </c>
      <c r="G12" s="7">
        <v>2.0</v>
      </c>
      <c r="H12" s="8">
        <v>43704.0</v>
      </c>
      <c r="I12" s="9">
        <v>0.21</v>
      </c>
      <c r="J12" s="8">
        <f t="shared" si="1"/>
        <v>9177.84</v>
      </c>
      <c r="K12" s="8">
        <f t="shared" si="2"/>
        <v>52881.84</v>
      </c>
      <c r="L12" s="4" t="s">
        <v>47</v>
      </c>
    </row>
    <row r="13">
      <c r="A13" s="6">
        <v>46243.0</v>
      </c>
      <c r="B13" s="4" t="s">
        <v>37</v>
      </c>
      <c r="C13" s="4" t="s">
        <v>491</v>
      </c>
      <c r="D13" s="4" t="s">
        <v>45</v>
      </c>
      <c r="E13" s="4"/>
      <c r="F13" s="4" t="s">
        <v>46</v>
      </c>
      <c r="G13" s="7">
        <v>3.0</v>
      </c>
      <c r="H13" s="8">
        <v>56650.0</v>
      </c>
      <c r="I13" s="9">
        <v>0.21</v>
      </c>
      <c r="J13" s="8">
        <f t="shared" si="1"/>
        <v>11896.5</v>
      </c>
      <c r="K13" s="8">
        <f t="shared" si="2"/>
        <v>68546.5</v>
      </c>
      <c r="L13" s="4" t="s">
        <v>36</v>
      </c>
    </row>
    <row r="14">
      <c r="A14" s="6">
        <v>46244.0</v>
      </c>
      <c r="B14" s="4" t="s">
        <v>37</v>
      </c>
      <c r="C14" s="4" t="s">
        <v>492</v>
      </c>
      <c r="D14" s="4" t="s">
        <v>20</v>
      </c>
      <c r="E14" s="4"/>
      <c r="F14" s="4" t="s">
        <v>25</v>
      </c>
      <c r="G14" s="7">
        <v>4.0</v>
      </c>
      <c r="H14" s="8">
        <v>69596.0</v>
      </c>
      <c r="I14" s="9">
        <v>0.21</v>
      </c>
      <c r="J14" s="8">
        <f t="shared" si="1"/>
        <v>14615.16</v>
      </c>
      <c r="K14" s="8">
        <f t="shared" si="2"/>
        <v>84211.16</v>
      </c>
      <c r="L14" s="4" t="s">
        <v>43</v>
      </c>
    </row>
    <row r="15">
      <c r="A15" s="6">
        <v>46245.0</v>
      </c>
      <c r="B15" s="4" t="s">
        <v>18</v>
      </c>
      <c r="C15" s="4" t="s">
        <v>494</v>
      </c>
      <c r="D15" s="4" t="s">
        <v>56</v>
      </c>
      <c r="E15" s="4" t="s">
        <v>495</v>
      </c>
      <c r="F15" s="4" t="s">
        <v>22</v>
      </c>
      <c r="G15" s="7">
        <v>5.0</v>
      </c>
      <c r="H15" s="8">
        <v>82542.0</v>
      </c>
      <c r="I15" s="9">
        <v>0.21</v>
      </c>
      <c r="J15" s="8">
        <f t="shared" si="1"/>
        <v>17333.82</v>
      </c>
      <c r="K15" s="8">
        <f t="shared" si="2"/>
        <v>99875.82</v>
      </c>
      <c r="L15" s="4" t="s">
        <v>49</v>
      </c>
    </row>
    <row r="16">
      <c r="A16" s="6">
        <v>46246.0</v>
      </c>
      <c r="B16" s="4" t="s">
        <v>37</v>
      </c>
      <c r="C16" s="4" t="s">
        <v>497</v>
      </c>
      <c r="D16" s="4" t="s">
        <v>20</v>
      </c>
      <c r="E16" s="4"/>
      <c r="F16" s="4" t="s">
        <v>39</v>
      </c>
      <c r="G16" s="7">
        <v>6.0</v>
      </c>
      <c r="H16" s="8">
        <v>95488.0</v>
      </c>
      <c r="I16" s="9">
        <v>0.21</v>
      </c>
      <c r="J16" s="8">
        <f t="shared" si="1"/>
        <v>20052.48</v>
      </c>
      <c r="K16" s="8">
        <f t="shared" si="2"/>
        <v>115540.48</v>
      </c>
      <c r="L16" s="4" t="s">
        <v>40</v>
      </c>
    </row>
    <row r="17">
      <c r="A17" s="6">
        <v>46247.0</v>
      </c>
      <c r="B17" s="4" t="s">
        <v>37</v>
      </c>
      <c r="C17" s="4" t="s">
        <v>499</v>
      </c>
      <c r="D17" s="4" t="s">
        <v>42</v>
      </c>
      <c r="E17" s="4"/>
      <c r="F17" s="4" t="s">
        <v>46</v>
      </c>
      <c r="G17" s="7">
        <v>1.0</v>
      </c>
      <c r="H17" s="8">
        <v>108434.0</v>
      </c>
      <c r="I17" s="9">
        <v>0.21</v>
      </c>
      <c r="J17" s="8">
        <f t="shared" si="1"/>
        <v>22771.14</v>
      </c>
      <c r="K17" s="8">
        <f t="shared" si="2"/>
        <v>131205.14</v>
      </c>
      <c r="L17" s="4" t="s">
        <v>47</v>
      </c>
    </row>
    <row r="18">
      <c r="A18" s="6">
        <v>46248.0</v>
      </c>
      <c r="B18" s="4" t="s">
        <v>37</v>
      </c>
      <c r="C18" s="4" t="s">
        <v>501</v>
      </c>
      <c r="D18" s="4" t="s">
        <v>20</v>
      </c>
      <c r="E18" s="4"/>
      <c r="F18" s="4" t="s">
        <v>25</v>
      </c>
      <c r="G18" s="7">
        <v>2.0</v>
      </c>
      <c r="H18" s="8">
        <v>121380.0</v>
      </c>
      <c r="I18" s="9">
        <v>0.21</v>
      </c>
      <c r="J18" s="8">
        <f t="shared" si="1"/>
        <v>25489.8</v>
      </c>
      <c r="K18" s="8">
        <f t="shared" si="2"/>
        <v>146869.8</v>
      </c>
      <c r="L18" s="4" t="s">
        <v>36</v>
      </c>
    </row>
    <row r="19">
      <c r="A19" s="6">
        <v>46249.0</v>
      </c>
      <c r="B19" s="4" t="s">
        <v>37</v>
      </c>
      <c r="C19" s="4" t="s">
        <v>502</v>
      </c>
      <c r="D19" s="4" t="s">
        <v>54</v>
      </c>
      <c r="E19" s="4"/>
      <c r="F19" s="4" t="s">
        <v>22</v>
      </c>
      <c r="G19" s="7">
        <v>3.0</v>
      </c>
      <c r="H19" s="8">
        <v>44325.0</v>
      </c>
      <c r="I19" s="9">
        <v>0.21</v>
      </c>
      <c r="J19" s="8">
        <f t="shared" si="1"/>
        <v>9308.25</v>
      </c>
      <c r="K19" s="8">
        <f t="shared" si="2"/>
        <v>53633.25</v>
      </c>
      <c r="L19" s="4" t="s">
        <v>43</v>
      </c>
    </row>
    <row r="20">
      <c r="A20" s="6">
        <v>46250.0</v>
      </c>
      <c r="B20" s="4" t="s">
        <v>37</v>
      </c>
      <c r="C20" s="4" t="s">
        <v>504</v>
      </c>
      <c r="D20" s="4" t="s">
        <v>58</v>
      </c>
      <c r="E20" s="4"/>
      <c r="F20" s="4" t="s">
        <v>39</v>
      </c>
      <c r="G20" s="7">
        <v>4.0</v>
      </c>
      <c r="H20" s="8">
        <v>57271.0</v>
      </c>
      <c r="I20" s="9">
        <v>0.21</v>
      </c>
      <c r="J20" s="8">
        <f t="shared" si="1"/>
        <v>12026.91</v>
      </c>
      <c r="K20" s="8">
        <f t="shared" si="2"/>
        <v>69297.91</v>
      </c>
      <c r="L20" s="4" t="s">
        <v>49</v>
      </c>
    </row>
    <row r="21" ht="15.75" customHeight="1">
      <c r="A21" s="6">
        <v>46251.0</v>
      </c>
      <c r="B21" s="4" t="s">
        <v>37</v>
      </c>
      <c r="C21" s="4" t="s">
        <v>506</v>
      </c>
      <c r="D21" s="4" t="s">
        <v>20</v>
      </c>
      <c r="E21" s="4"/>
      <c r="F21" s="4" t="s">
        <v>46</v>
      </c>
      <c r="G21" s="7">
        <v>5.0</v>
      </c>
      <c r="H21" s="8">
        <v>70217.0</v>
      </c>
      <c r="I21" s="9">
        <v>0.21</v>
      </c>
      <c r="J21" s="8">
        <f t="shared" si="1"/>
        <v>14745.57</v>
      </c>
      <c r="K21" s="8">
        <f t="shared" si="2"/>
        <v>84962.57</v>
      </c>
      <c r="L21" s="4" t="s">
        <v>40</v>
      </c>
    </row>
    <row r="22" ht="15.75" customHeight="1">
      <c r="A22" s="6">
        <v>46252.0</v>
      </c>
      <c r="B22" s="4" t="s">
        <v>37</v>
      </c>
      <c r="C22" s="4" t="s">
        <v>508</v>
      </c>
      <c r="D22" s="4" t="s">
        <v>20</v>
      </c>
      <c r="E22" s="4"/>
      <c r="F22" s="4" t="s">
        <v>25</v>
      </c>
      <c r="G22" s="7">
        <v>6.0</v>
      </c>
      <c r="H22" s="8">
        <v>83163.0</v>
      </c>
      <c r="I22" s="9">
        <v>0.21</v>
      </c>
      <c r="J22" s="8">
        <f t="shared" si="1"/>
        <v>17464.23</v>
      </c>
      <c r="K22" s="8">
        <f t="shared" si="2"/>
        <v>100627.23</v>
      </c>
      <c r="L22" s="4" t="s">
        <v>47</v>
      </c>
    </row>
    <row r="23" ht="15.75" customHeight="1">
      <c r="A23" s="6">
        <v>46253.0</v>
      </c>
      <c r="B23" s="4" t="s">
        <v>37</v>
      </c>
      <c r="C23" s="4" t="s">
        <v>510</v>
      </c>
      <c r="D23" s="4" t="s">
        <v>20</v>
      </c>
      <c r="E23" s="4"/>
      <c r="F23" s="4" t="s">
        <v>22</v>
      </c>
      <c r="G23" s="7">
        <v>1.0</v>
      </c>
      <c r="H23" s="8">
        <v>96109.0</v>
      </c>
      <c r="I23" s="9">
        <v>0.21</v>
      </c>
      <c r="J23" s="8">
        <f t="shared" si="1"/>
        <v>20182.89</v>
      </c>
      <c r="K23" s="8">
        <f t="shared" si="2"/>
        <v>116291.89</v>
      </c>
      <c r="L23" s="4" t="s">
        <v>36</v>
      </c>
    </row>
    <row r="24" ht="15.75" customHeight="1">
      <c r="A24" s="6">
        <v>46254.0</v>
      </c>
      <c r="B24" s="4" t="s">
        <v>37</v>
      </c>
      <c r="C24" s="4" t="s">
        <v>511</v>
      </c>
      <c r="D24" s="4" t="s">
        <v>20</v>
      </c>
      <c r="E24" s="4"/>
      <c r="F24" s="4" t="s">
        <v>39</v>
      </c>
      <c r="G24" s="7">
        <v>2.0</v>
      </c>
      <c r="H24" s="8">
        <v>109055.0</v>
      </c>
      <c r="I24" s="9">
        <v>0.21</v>
      </c>
      <c r="J24" s="8">
        <f t="shared" si="1"/>
        <v>22901.55</v>
      </c>
      <c r="K24" s="8">
        <f t="shared" si="2"/>
        <v>131956.55</v>
      </c>
      <c r="L24" s="4" t="s">
        <v>43</v>
      </c>
    </row>
    <row r="25" ht="15.75" customHeight="1">
      <c r="A25" s="6">
        <v>46255.0</v>
      </c>
      <c r="B25" s="4" t="s">
        <v>18</v>
      </c>
      <c r="C25" s="4" t="s">
        <v>513</v>
      </c>
      <c r="D25" s="4" t="s">
        <v>45</v>
      </c>
      <c r="E25" s="4" t="s">
        <v>514</v>
      </c>
      <c r="F25" s="4" t="s">
        <v>46</v>
      </c>
      <c r="G25" s="7">
        <v>3.0</v>
      </c>
      <c r="H25" s="8">
        <v>122001.0</v>
      </c>
      <c r="I25" s="9">
        <v>0.21</v>
      </c>
      <c r="J25" s="8">
        <f t="shared" si="1"/>
        <v>25620.21</v>
      </c>
      <c r="K25" s="8">
        <f t="shared" si="2"/>
        <v>147621.21</v>
      </c>
      <c r="L25" s="4" t="s">
        <v>49</v>
      </c>
    </row>
    <row r="26" ht="15.75" customHeight="1">
      <c r="A26" s="6">
        <v>46256.0</v>
      </c>
      <c r="B26" s="4" t="s">
        <v>37</v>
      </c>
      <c r="C26" s="4" t="s">
        <v>516</v>
      </c>
      <c r="D26" s="4" t="s">
        <v>20</v>
      </c>
      <c r="E26" s="4"/>
      <c r="F26" s="4" t="s">
        <v>25</v>
      </c>
      <c r="G26" s="7">
        <v>4.0</v>
      </c>
      <c r="H26" s="8">
        <v>44946.0</v>
      </c>
      <c r="I26" s="9">
        <v>0.21</v>
      </c>
      <c r="J26" s="8">
        <f t="shared" si="1"/>
        <v>9438.66</v>
      </c>
      <c r="K26" s="8">
        <f t="shared" si="2"/>
        <v>54384.66</v>
      </c>
      <c r="L26" s="4" t="s">
        <v>40</v>
      </c>
    </row>
    <row r="27" ht="15.75" customHeight="1">
      <c r="A27" s="6">
        <v>46257.0</v>
      </c>
      <c r="B27" s="4" t="s">
        <v>37</v>
      </c>
      <c r="C27" s="4" t="s">
        <v>518</v>
      </c>
      <c r="D27" s="4" t="s">
        <v>56</v>
      </c>
      <c r="E27" s="4"/>
      <c r="F27" s="4" t="s">
        <v>22</v>
      </c>
      <c r="G27" s="7">
        <v>5.0</v>
      </c>
      <c r="H27" s="8">
        <v>57892.0</v>
      </c>
      <c r="I27" s="9">
        <v>0.21</v>
      </c>
      <c r="J27" s="8">
        <f t="shared" si="1"/>
        <v>12157.32</v>
      </c>
      <c r="K27" s="8">
        <f t="shared" si="2"/>
        <v>70049.32</v>
      </c>
      <c r="L27" s="4" t="s">
        <v>47</v>
      </c>
    </row>
    <row r="28" ht="15.75" customHeight="1">
      <c r="A28" s="6">
        <v>46258.0</v>
      </c>
      <c r="B28" s="4" t="s">
        <v>37</v>
      </c>
      <c r="C28" s="4" t="s">
        <v>520</v>
      </c>
      <c r="D28" s="4" t="s">
        <v>20</v>
      </c>
      <c r="E28" s="4"/>
      <c r="F28" s="4" t="s">
        <v>39</v>
      </c>
      <c r="G28" s="7">
        <v>6.0</v>
      </c>
      <c r="H28" s="8">
        <v>70838.0</v>
      </c>
      <c r="I28" s="9">
        <v>0.21</v>
      </c>
      <c r="J28" s="8">
        <f t="shared" si="1"/>
        <v>14875.98</v>
      </c>
      <c r="K28" s="8">
        <f t="shared" si="2"/>
        <v>85713.98</v>
      </c>
      <c r="L28" s="4" t="s">
        <v>36</v>
      </c>
    </row>
    <row r="29" ht="15.75" customHeight="1">
      <c r="A29" s="6">
        <v>46259.0</v>
      </c>
      <c r="B29" s="4" t="s">
        <v>37</v>
      </c>
      <c r="C29" s="4" t="s">
        <v>523</v>
      </c>
      <c r="D29" s="4" t="s">
        <v>42</v>
      </c>
      <c r="E29" s="4"/>
      <c r="F29" s="4" t="s">
        <v>46</v>
      </c>
      <c r="G29" s="7">
        <v>1.0</v>
      </c>
      <c r="H29" s="8">
        <v>83784.0</v>
      </c>
      <c r="I29" s="9">
        <v>0.21</v>
      </c>
      <c r="J29" s="8">
        <f t="shared" si="1"/>
        <v>17594.64</v>
      </c>
      <c r="K29" s="8">
        <f t="shared" si="2"/>
        <v>101378.64</v>
      </c>
      <c r="L29" s="4" t="s">
        <v>43</v>
      </c>
    </row>
    <row r="30" ht="15.75" customHeight="1">
      <c r="A30" s="6">
        <v>46260.0</v>
      </c>
      <c r="B30" s="4" t="s">
        <v>37</v>
      </c>
      <c r="C30" s="4" t="s">
        <v>525</v>
      </c>
      <c r="D30" s="4" t="s">
        <v>20</v>
      </c>
      <c r="E30" s="4"/>
      <c r="F30" s="4" t="s">
        <v>25</v>
      </c>
      <c r="G30" s="7">
        <v>2.0</v>
      </c>
      <c r="H30" s="8">
        <v>96730.0</v>
      </c>
      <c r="I30" s="9">
        <v>0.21</v>
      </c>
      <c r="J30" s="8">
        <f t="shared" si="1"/>
        <v>20313.3</v>
      </c>
      <c r="K30" s="8">
        <f t="shared" si="2"/>
        <v>117043.3</v>
      </c>
      <c r="L30" s="4" t="s">
        <v>49</v>
      </c>
    </row>
    <row r="31" ht="15.75" customHeight="1">
      <c r="A31" s="6">
        <v>46261.0</v>
      </c>
      <c r="B31" s="4" t="s">
        <v>37</v>
      </c>
      <c r="C31" s="4" t="s">
        <v>527</v>
      </c>
      <c r="D31" s="4" t="s">
        <v>54</v>
      </c>
      <c r="E31" s="4"/>
      <c r="F31" s="4" t="s">
        <v>22</v>
      </c>
      <c r="G31" s="7">
        <v>3.0</v>
      </c>
      <c r="H31" s="8">
        <v>109676.0</v>
      </c>
      <c r="I31" s="9">
        <v>0.21</v>
      </c>
      <c r="J31" s="8">
        <f t="shared" si="1"/>
        <v>23031.96</v>
      </c>
      <c r="K31" s="8">
        <f t="shared" si="2"/>
        <v>132707.96</v>
      </c>
      <c r="L31" s="4" t="s">
        <v>40</v>
      </c>
    </row>
    <row r="32" ht="15.75" customHeight="1">
      <c r="A32" s="6">
        <v>46262.0</v>
      </c>
      <c r="B32" s="4" t="s">
        <v>37</v>
      </c>
      <c r="C32" s="4" t="s">
        <v>530</v>
      </c>
      <c r="D32" s="4" t="s">
        <v>58</v>
      </c>
      <c r="E32" s="4"/>
      <c r="F32" s="4" t="s">
        <v>39</v>
      </c>
      <c r="G32" s="7">
        <v>4.0</v>
      </c>
      <c r="H32" s="8">
        <v>122622.0</v>
      </c>
      <c r="I32" s="9">
        <v>0.21</v>
      </c>
      <c r="J32" s="8">
        <f t="shared" si="1"/>
        <v>25750.62</v>
      </c>
      <c r="K32" s="8">
        <f t="shared" si="2"/>
        <v>148372.62</v>
      </c>
      <c r="L32" s="4" t="s">
        <v>47</v>
      </c>
    </row>
    <row r="33" ht="15.75" customHeight="1">
      <c r="A33" s="6">
        <v>46235.0</v>
      </c>
      <c r="B33" s="4" t="s">
        <v>37</v>
      </c>
      <c r="C33" s="4" t="s">
        <v>532</v>
      </c>
      <c r="D33" s="4" t="s">
        <v>20</v>
      </c>
      <c r="E33" s="4"/>
      <c r="F33" s="4" t="s">
        <v>46</v>
      </c>
      <c r="G33" s="7">
        <v>5.0</v>
      </c>
      <c r="H33" s="8">
        <v>45567.0</v>
      </c>
      <c r="I33" s="9">
        <v>0.21</v>
      </c>
      <c r="J33" s="8">
        <f t="shared" si="1"/>
        <v>9569.07</v>
      </c>
      <c r="K33" s="8">
        <f t="shared" si="2"/>
        <v>55136.07</v>
      </c>
      <c r="L33" s="4" t="s">
        <v>36</v>
      </c>
    </row>
    <row r="34" ht="15.75" customHeight="1">
      <c r="A34" s="6">
        <v>46236.0</v>
      </c>
      <c r="B34" s="4" t="s">
        <v>37</v>
      </c>
      <c r="C34" s="4" t="s">
        <v>535</v>
      </c>
      <c r="D34" s="4" t="s">
        <v>20</v>
      </c>
      <c r="E34" s="4"/>
      <c r="F34" s="4" t="s">
        <v>25</v>
      </c>
      <c r="G34" s="7">
        <v>6.0</v>
      </c>
      <c r="H34" s="8">
        <v>58513.0</v>
      </c>
      <c r="I34" s="9">
        <v>0.21</v>
      </c>
      <c r="J34" s="8">
        <f t="shared" si="1"/>
        <v>12287.73</v>
      </c>
      <c r="K34" s="8">
        <f t="shared" si="2"/>
        <v>70800.73</v>
      </c>
      <c r="L34" s="4" t="s">
        <v>43</v>
      </c>
    </row>
    <row r="35" ht="15.75" customHeight="1">
      <c r="A35" s="6">
        <v>46237.0</v>
      </c>
      <c r="B35" s="4" t="s">
        <v>18</v>
      </c>
      <c r="C35" s="4" t="s">
        <v>537</v>
      </c>
      <c r="D35" s="4" t="s">
        <v>20</v>
      </c>
      <c r="E35" s="4" t="s">
        <v>538</v>
      </c>
      <c r="F35" s="4" t="s">
        <v>22</v>
      </c>
      <c r="G35" s="7">
        <v>1.0</v>
      </c>
      <c r="H35" s="8">
        <v>71459.0</v>
      </c>
      <c r="I35" s="9">
        <v>0.21</v>
      </c>
      <c r="J35" s="8">
        <f t="shared" si="1"/>
        <v>15006.39</v>
      </c>
      <c r="K35" s="8">
        <f t="shared" si="2"/>
        <v>86465.39</v>
      </c>
      <c r="L35" s="4" t="s">
        <v>49</v>
      </c>
    </row>
    <row r="36" ht="15.75" customHeight="1">
      <c r="A36" s="6">
        <v>46238.0</v>
      </c>
      <c r="B36" s="4" t="s">
        <v>37</v>
      </c>
      <c r="C36" s="4" t="s">
        <v>541</v>
      </c>
      <c r="D36" s="4" t="s">
        <v>20</v>
      </c>
      <c r="E36" s="4"/>
      <c r="F36" s="4" t="s">
        <v>39</v>
      </c>
      <c r="G36" s="7">
        <v>2.0</v>
      </c>
      <c r="H36" s="8">
        <v>84405.0</v>
      </c>
      <c r="I36" s="9">
        <v>0.21</v>
      </c>
      <c r="J36" s="8">
        <f t="shared" si="1"/>
        <v>17725.05</v>
      </c>
      <c r="K36" s="8">
        <f t="shared" si="2"/>
        <v>102130.05</v>
      </c>
      <c r="L36" s="4" t="s">
        <v>40</v>
      </c>
    </row>
    <row r="37" ht="15.75" customHeight="1">
      <c r="A37" s="6">
        <v>46239.0</v>
      </c>
      <c r="B37" s="4" t="s">
        <v>37</v>
      </c>
      <c r="C37" s="4" t="s">
        <v>542</v>
      </c>
      <c r="D37" s="4" t="s">
        <v>45</v>
      </c>
      <c r="E37" s="4"/>
      <c r="F37" s="4" t="s">
        <v>46</v>
      </c>
      <c r="G37" s="7">
        <v>3.0</v>
      </c>
      <c r="H37" s="8">
        <v>97351.0</v>
      </c>
      <c r="I37" s="9">
        <v>0.21</v>
      </c>
      <c r="J37" s="8">
        <f t="shared" si="1"/>
        <v>20443.71</v>
      </c>
      <c r="K37" s="8">
        <f t="shared" si="2"/>
        <v>117794.71</v>
      </c>
      <c r="L37" s="4" t="s">
        <v>47</v>
      </c>
    </row>
    <row r="38" ht="15.75" customHeight="1">
      <c r="A38" s="6">
        <v>46240.0</v>
      </c>
      <c r="B38" s="4" t="s">
        <v>37</v>
      </c>
      <c r="C38" s="4" t="s">
        <v>545</v>
      </c>
      <c r="D38" s="4" t="s">
        <v>20</v>
      </c>
      <c r="E38" s="4"/>
      <c r="F38" s="4" t="s">
        <v>25</v>
      </c>
      <c r="G38" s="7">
        <v>4.0</v>
      </c>
      <c r="H38" s="8">
        <v>110297.0</v>
      </c>
      <c r="I38" s="9">
        <v>0.21</v>
      </c>
      <c r="J38" s="8">
        <f t="shared" si="1"/>
        <v>23162.37</v>
      </c>
      <c r="K38" s="8">
        <f t="shared" si="2"/>
        <v>133459.37</v>
      </c>
      <c r="L38" s="4" t="s">
        <v>36</v>
      </c>
    </row>
    <row r="39" ht="15.75" customHeight="1">
      <c r="A39" s="6">
        <v>46241.0</v>
      </c>
      <c r="B39" s="4" t="s">
        <v>37</v>
      </c>
      <c r="C39" s="4" t="s">
        <v>546</v>
      </c>
      <c r="D39" s="4" t="s">
        <v>56</v>
      </c>
      <c r="E39" s="4"/>
      <c r="F39" s="4" t="s">
        <v>22</v>
      </c>
      <c r="G39" s="7">
        <v>5.0</v>
      </c>
      <c r="H39" s="8">
        <v>123243.0</v>
      </c>
      <c r="I39" s="9">
        <v>0.21</v>
      </c>
      <c r="J39" s="8">
        <f t="shared" si="1"/>
        <v>25881.03</v>
      </c>
      <c r="K39" s="8">
        <f t="shared" si="2"/>
        <v>149124.03</v>
      </c>
      <c r="L39" s="4" t="s">
        <v>43</v>
      </c>
    </row>
    <row r="40" ht="15.75" customHeight="1">
      <c r="A40" s="6">
        <v>46242.0</v>
      </c>
      <c r="B40" s="4" t="s">
        <v>37</v>
      </c>
      <c r="C40" s="4" t="s">
        <v>548</v>
      </c>
      <c r="D40" s="4" t="s">
        <v>20</v>
      </c>
      <c r="E40" s="4"/>
      <c r="F40" s="4" t="s">
        <v>39</v>
      </c>
      <c r="G40" s="7">
        <v>6.0</v>
      </c>
      <c r="H40" s="8">
        <v>46188.0</v>
      </c>
      <c r="I40" s="9">
        <v>0.21</v>
      </c>
      <c r="J40" s="8">
        <f t="shared" si="1"/>
        <v>9699.48</v>
      </c>
      <c r="K40" s="8">
        <f t="shared" si="2"/>
        <v>55887.48</v>
      </c>
      <c r="L40" s="4" t="s">
        <v>49</v>
      </c>
    </row>
    <row r="41" ht="15.75" customHeight="1">
      <c r="A41" s="6">
        <v>46243.0</v>
      </c>
      <c r="B41" s="4" t="s">
        <v>37</v>
      </c>
      <c r="C41" s="4" t="s">
        <v>550</v>
      </c>
      <c r="D41" s="4" t="s">
        <v>42</v>
      </c>
      <c r="E41" s="4"/>
      <c r="F41" s="4" t="s">
        <v>46</v>
      </c>
      <c r="G41" s="7">
        <v>1.0</v>
      </c>
      <c r="H41" s="8">
        <v>59134.0</v>
      </c>
      <c r="I41" s="9">
        <v>0.21</v>
      </c>
      <c r="J41" s="8">
        <f t="shared" si="1"/>
        <v>12418.14</v>
      </c>
      <c r="K41" s="8">
        <f t="shared" si="2"/>
        <v>71552.14</v>
      </c>
      <c r="L41" s="4" t="s">
        <v>40</v>
      </c>
    </row>
    <row r="42" ht="15.75" customHeight="1">
      <c r="A42" s="6">
        <v>46244.0</v>
      </c>
      <c r="B42" s="4" t="s">
        <v>37</v>
      </c>
      <c r="C42" s="4" t="s">
        <v>551</v>
      </c>
      <c r="D42" s="4" t="s">
        <v>20</v>
      </c>
      <c r="E42" s="4"/>
      <c r="F42" s="4" t="s">
        <v>25</v>
      </c>
      <c r="G42" s="7">
        <v>2.0</v>
      </c>
      <c r="H42" s="8">
        <v>72080.0</v>
      </c>
      <c r="I42" s="9">
        <v>0.21</v>
      </c>
      <c r="J42" s="8">
        <f t="shared" si="1"/>
        <v>15136.8</v>
      </c>
      <c r="K42" s="8">
        <f t="shared" si="2"/>
        <v>87216.8</v>
      </c>
      <c r="L42" s="4" t="s">
        <v>47</v>
      </c>
    </row>
    <row r="43" ht="15.75" customHeight="1">
      <c r="A43" s="6">
        <v>46245.0</v>
      </c>
      <c r="B43" s="4" t="s">
        <v>37</v>
      </c>
      <c r="C43" s="4" t="s">
        <v>553</v>
      </c>
      <c r="D43" s="4" t="s">
        <v>54</v>
      </c>
      <c r="E43" s="4"/>
      <c r="F43" s="4" t="s">
        <v>22</v>
      </c>
      <c r="G43" s="7">
        <v>3.0</v>
      </c>
      <c r="H43" s="8">
        <v>85026.0</v>
      </c>
      <c r="I43" s="9">
        <v>0.21</v>
      </c>
      <c r="J43" s="8">
        <f t="shared" si="1"/>
        <v>17855.46</v>
      </c>
      <c r="K43" s="8">
        <f t="shared" si="2"/>
        <v>102881.46</v>
      </c>
      <c r="L43" s="4" t="s">
        <v>36</v>
      </c>
    </row>
    <row r="44" ht="15.75" customHeight="1">
      <c r="A44" s="6">
        <v>46246.0</v>
      </c>
      <c r="B44" s="4" t="s">
        <v>37</v>
      </c>
      <c r="C44" s="4" t="s">
        <v>555</v>
      </c>
      <c r="D44" s="4" t="s">
        <v>58</v>
      </c>
      <c r="E44" s="4"/>
      <c r="F44" s="4" t="s">
        <v>39</v>
      </c>
      <c r="G44" s="7">
        <v>4.0</v>
      </c>
      <c r="H44" s="8">
        <v>97972.0</v>
      </c>
      <c r="I44" s="9">
        <v>0.21</v>
      </c>
      <c r="J44" s="8">
        <f t="shared" si="1"/>
        <v>20574.12</v>
      </c>
      <c r="K44" s="8">
        <f t="shared" si="2"/>
        <v>118546.12</v>
      </c>
      <c r="L44" s="4" t="s">
        <v>43</v>
      </c>
    </row>
    <row r="45" ht="15.75" customHeight="1">
      <c r="A45" s="6">
        <v>46247.0</v>
      </c>
      <c r="B45" s="4" t="s">
        <v>18</v>
      </c>
      <c r="C45" s="4" t="s">
        <v>556</v>
      </c>
      <c r="D45" s="4" t="s">
        <v>20</v>
      </c>
      <c r="E45" s="4" t="s">
        <v>557</v>
      </c>
      <c r="F45" s="4" t="s">
        <v>46</v>
      </c>
      <c r="G45" s="7">
        <v>5.0</v>
      </c>
      <c r="H45" s="8">
        <v>110918.0</v>
      </c>
      <c r="I45" s="9">
        <v>0.21</v>
      </c>
      <c r="J45" s="8">
        <f t="shared" si="1"/>
        <v>23292.78</v>
      </c>
      <c r="K45" s="8">
        <f t="shared" si="2"/>
        <v>134210.78</v>
      </c>
      <c r="L45" s="4" t="s">
        <v>49</v>
      </c>
    </row>
    <row r="46" ht="15.75" customHeight="1">
      <c r="A46" s="6">
        <v>46248.0</v>
      </c>
      <c r="B46" s="4" t="s">
        <v>37</v>
      </c>
      <c r="C46" s="4" t="s">
        <v>559</v>
      </c>
      <c r="D46" s="4" t="s">
        <v>20</v>
      </c>
      <c r="E46" s="4"/>
      <c r="F46" s="4" t="s">
        <v>25</v>
      </c>
      <c r="G46" s="7">
        <v>6.0</v>
      </c>
      <c r="H46" s="8">
        <v>123864.0</v>
      </c>
      <c r="I46" s="9">
        <v>0.21</v>
      </c>
      <c r="J46" s="8">
        <f t="shared" si="1"/>
        <v>26011.44</v>
      </c>
      <c r="K46" s="8">
        <f t="shared" si="2"/>
        <v>149875.44</v>
      </c>
      <c r="L46" s="4" t="s">
        <v>40</v>
      </c>
    </row>
    <row r="47" ht="15.75" customHeight="1">
      <c r="A47" s="6">
        <v>46249.0</v>
      </c>
      <c r="B47" s="4" t="s">
        <v>37</v>
      </c>
      <c r="C47" s="4" t="s">
        <v>560</v>
      </c>
      <c r="D47" s="4" t="s">
        <v>20</v>
      </c>
      <c r="E47" s="4"/>
      <c r="F47" s="4" t="s">
        <v>22</v>
      </c>
      <c r="G47" s="7">
        <v>1.0</v>
      </c>
      <c r="H47" s="8">
        <v>46809.0</v>
      </c>
      <c r="I47" s="9">
        <v>0.21</v>
      </c>
      <c r="J47" s="8">
        <f t="shared" si="1"/>
        <v>9829.89</v>
      </c>
      <c r="K47" s="8">
        <f t="shared" si="2"/>
        <v>56638.89</v>
      </c>
      <c r="L47" s="4" t="s">
        <v>47</v>
      </c>
    </row>
    <row r="48" ht="15.75" customHeight="1">
      <c r="A48" s="6">
        <v>46250.0</v>
      </c>
      <c r="B48" s="4" t="s">
        <v>37</v>
      </c>
      <c r="C48" s="4" t="s">
        <v>562</v>
      </c>
      <c r="D48" s="4" t="s">
        <v>20</v>
      </c>
      <c r="E48" s="4"/>
      <c r="F48" s="4" t="s">
        <v>39</v>
      </c>
      <c r="G48" s="7">
        <v>2.0</v>
      </c>
      <c r="H48" s="8">
        <v>59755.0</v>
      </c>
      <c r="I48" s="9">
        <v>0.21</v>
      </c>
      <c r="J48" s="8">
        <f t="shared" si="1"/>
        <v>12548.55</v>
      </c>
      <c r="K48" s="8">
        <f t="shared" si="2"/>
        <v>72303.55</v>
      </c>
      <c r="L48" s="4" t="s">
        <v>36</v>
      </c>
    </row>
    <row r="49" ht="15.75" customHeight="1">
      <c r="A49" s="6">
        <v>46251.0</v>
      </c>
      <c r="B49" s="4" t="s">
        <v>37</v>
      </c>
      <c r="C49" s="4" t="s">
        <v>564</v>
      </c>
      <c r="D49" s="4" t="s">
        <v>45</v>
      </c>
      <c r="E49" s="4"/>
      <c r="F49" s="4" t="s">
        <v>46</v>
      </c>
      <c r="G49" s="7">
        <v>3.0</v>
      </c>
      <c r="H49" s="8">
        <v>72701.0</v>
      </c>
      <c r="I49" s="9">
        <v>0.21</v>
      </c>
      <c r="J49" s="8">
        <f t="shared" si="1"/>
        <v>15267.21</v>
      </c>
      <c r="K49" s="8">
        <f t="shared" si="2"/>
        <v>87968.21</v>
      </c>
      <c r="L49" s="4" t="s">
        <v>43</v>
      </c>
    </row>
    <row r="50" ht="15.75" customHeight="1">
      <c r="A50" s="6">
        <v>46252.0</v>
      </c>
      <c r="B50" s="4" t="s">
        <v>37</v>
      </c>
      <c r="C50" s="4" t="s">
        <v>565</v>
      </c>
      <c r="D50" s="4" t="s">
        <v>20</v>
      </c>
      <c r="E50" s="4"/>
      <c r="F50" s="4" t="s">
        <v>25</v>
      </c>
      <c r="G50" s="7">
        <v>4.0</v>
      </c>
      <c r="H50" s="8">
        <v>85647.0</v>
      </c>
      <c r="I50" s="9">
        <v>0.21</v>
      </c>
      <c r="J50" s="8">
        <f t="shared" si="1"/>
        <v>17985.87</v>
      </c>
      <c r="K50" s="8">
        <f t="shared" si="2"/>
        <v>103632.87</v>
      </c>
      <c r="L50" s="4" t="s">
        <v>49</v>
      </c>
    </row>
    <row r="51" ht="15.75" customHeight="1">
      <c r="A51" s="6">
        <v>46253.0</v>
      </c>
      <c r="B51" s="4" t="s">
        <v>37</v>
      </c>
      <c r="C51" s="4" t="s">
        <v>567</v>
      </c>
      <c r="D51" s="4" t="s">
        <v>56</v>
      </c>
      <c r="E51" s="4"/>
      <c r="F51" s="4" t="s">
        <v>22</v>
      </c>
      <c r="G51" s="7">
        <v>5.0</v>
      </c>
      <c r="H51" s="8">
        <v>98593.0</v>
      </c>
      <c r="I51" s="9">
        <v>0.21</v>
      </c>
      <c r="J51" s="8">
        <f t="shared" si="1"/>
        <v>20704.53</v>
      </c>
      <c r="K51" s="8">
        <f t="shared" si="2"/>
        <v>119297.53</v>
      </c>
      <c r="L51" s="4" t="s">
        <v>40</v>
      </c>
    </row>
    <row r="52" ht="15.75" customHeight="1">
      <c r="A52" s="6">
        <v>46254.0</v>
      </c>
      <c r="B52" s="4" t="s">
        <v>37</v>
      </c>
      <c r="C52" s="4" t="s">
        <v>569</v>
      </c>
      <c r="D52" s="4" t="s">
        <v>20</v>
      </c>
      <c r="E52" s="4"/>
      <c r="F52" s="4" t="s">
        <v>39</v>
      </c>
      <c r="G52" s="7">
        <v>6.0</v>
      </c>
      <c r="H52" s="8">
        <v>111539.0</v>
      </c>
      <c r="I52" s="9">
        <v>0.21</v>
      </c>
      <c r="J52" s="8">
        <f t="shared" si="1"/>
        <v>23423.19</v>
      </c>
      <c r="K52" s="8">
        <f t="shared" si="2"/>
        <v>134962.19</v>
      </c>
      <c r="L52" s="4" t="s">
        <v>47</v>
      </c>
    </row>
    <row r="53" ht="15.75" customHeight="1">
      <c r="A53" s="6">
        <v>46255.0</v>
      </c>
      <c r="B53" s="4" t="s">
        <v>37</v>
      </c>
      <c r="C53" s="4" t="s">
        <v>570</v>
      </c>
      <c r="D53" s="4" t="s">
        <v>42</v>
      </c>
      <c r="E53" s="4"/>
      <c r="F53" s="4" t="s">
        <v>46</v>
      </c>
      <c r="G53" s="7">
        <v>1.0</v>
      </c>
      <c r="H53" s="8">
        <v>124485.0</v>
      </c>
      <c r="I53" s="9">
        <v>0.21</v>
      </c>
      <c r="J53" s="8">
        <f t="shared" si="1"/>
        <v>26141.85</v>
      </c>
      <c r="K53" s="8">
        <f t="shared" si="2"/>
        <v>150626.85</v>
      </c>
      <c r="L53" s="4" t="s">
        <v>36</v>
      </c>
    </row>
    <row r="54" ht="15.75" customHeight="1">
      <c r="A54" s="6">
        <v>46256.0</v>
      </c>
      <c r="B54" s="4" t="s">
        <v>37</v>
      </c>
      <c r="C54" s="4" t="s">
        <v>573</v>
      </c>
      <c r="D54" s="4" t="s">
        <v>20</v>
      </c>
      <c r="E54" s="4"/>
      <c r="F54" s="4" t="s">
        <v>25</v>
      </c>
      <c r="G54" s="7">
        <v>2.0</v>
      </c>
      <c r="H54" s="8">
        <v>47430.0</v>
      </c>
      <c r="I54" s="9">
        <v>0.21</v>
      </c>
      <c r="J54" s="8">
        <f t="shared" si="1"/>
        <v>9960.3</v>
      </c>
      <c r="K54" s="8">
        <f t="shared" si="2"/>
        <v>57390.3</v>
      </c>
      <c r="L54" s="4" t="s">
        <v>43</v>
      </c>
    </row>
    <row r="55" ht="15.75" customHeight="1">
      <c r="A55" s="6">
        <v>46257.0</v>
      </c>
      <c r="B55" s="4" t="s">
        <v>18</v>
      </c>
      <c r="C55" s="4" t="s">
        <v>575</v>
      </c>
      <c r="D55" s="4" t="s">
        <v>54</v>
      </c>
      <c r="E55" s="4" t="s">
        <v>576</v>
      </c>
      <c r="F55" s="4" t="s">
        <v>22</v>
      </c>
      <c r="G55" s="7">
        <v>3.0</v>
      </c>
      <c r="H55" s="8">
        <v>60376.0</v>
      </c>
      <c r="I55" s="9">
        <v>0.21</v>
      </c>
      <c r="J55" s="8">
        <f t="shared" si="1"/>
        <v>12678.96</v>
      </c>
      <c r="K55" s="8">
        <f t="shared" si="2"/>
        <v>73054.96</v>
      </c>
      <c r="L55" s="4" t="s">
        <v>49</v>
      </c>
    </row>
    <row r="56" ht="15.75" customHeight="1">
      <c r="A56" s="6">
        <v>46258.0</v>
      </c>
      <c r="B56" s="4" t="s">
        <v>37</v>
      </c>
      <c r="C56" s="4" t="s">
        <v>577</v>
      </c>
      <c r="D56" s="4" t="s">
        <v>58</v>
      </c>
      <c r="E56" s="4"/>
      <c r="F56" s="4" t="s">
        <v>39</v>
      </c>
      <c r="G56" s="7">
        <v>4.0</v>
      </c>
      <c r="H56" s="8">
        <v>73322.0</v>
      </c>
      <c r="I56" s="9">
        <v>0.21</v>
      </c>
      <c r="J56" s="8">
        <f t="shared" si="1"/>
        <v>15397.62</v>
      </c>
      <c r="K56" s="8">
        <f t="shared" si="2"/>
        <v>88719.62</v>
      </c>
      <c r="L56" s="4" t="s">
        <v>40</v>
      </c>
    </row>
    <row r="57" ht="15.75" customHeight="1">
      <c r="A57" s="6">
        <v>46259.0</v>
      </c>
      <c r="B57" s="4" t="s">
        <v>37</v>
      </c>
      <c r="C57" s="4" t="s">
        <v>579</v>
      </c>
      <c r="D57" s="4" t="s">
        <v>20</v>
      </c>
      <c r="E57" s="4"/>
      <c r="F57" s="4" t="s">
        <v>46</v>
      </c>
      <c r="G57" s="7">
        <v>5.0</v>
      </c>
      <c r="H57" s="8">
        <v>86268.0</v>
      </c>
      <c r="I57" s="9">
        <v>0.21</v>
      </c>
      <c r="J57" s="8">
        <f t="shared" si="1"/>
        <v>18116.28</v>
      </c>
      <c r="K57" s="8">
        <f t="shared" si="2"/>
        <v>104384.28</v>
      </c>
      <c r="L57" s="4" t="s">
        <v>47</v>
      </c>
    </row>
    <row r="58" ht="15.75" customHeight="1">
      <c r="A58" s="6">
        <v>46260.0</v>
      </c>
      <c r="B58" s="4" t="s">
        <v>37</v>
      </c>
      <c r="C58" s="4" t="s">
        <v>580</v>
      </c>
      <c r="D58" s="4" t="s">
        <v>20</v>
      </c>
      <c r="E58" s="4"/>
      <c r="F58" s="4" t="s">
        <v>25</v>
      </c>
      <c r="G58" s="7">
        <v>6.0</v>
      </c>
      <c r="H58" s="8">
        <v>99214.0</v>
      </c>
      <c r="I58" s="9">
        <v>0.21</v>
      </c>
      <c r="J58" s="8">
        <f t="shared" si="1"/>
        <v>20834.94</v>
      </c>
      <c r="K58" s="8">
        <f t="shared" si="2"/>
        <v>120048.94</v>
      </c>
      <c r="L58" s="4" t="s">
        <v>36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6" width="28.0"/>
    <col customWidth="1" min="7" max="7" width="9.88"/>
    <col customWidth="1" min="8" max="8" width="9.0"/>
    <col customWidth="1" min="9" max="9" width="8.5"/>
    <col customWidth="1" min="10" max="10" width="9.38"/>
    <col customWidth="1" min="11" max="11" width="19.0"/>
    <col customWidth="1" min="12" max="26" width="8.63"/>
  </cols>
  <sheetData>
    <row r="1" ht="30.0" customHeight="1">
      <c r="A1" s="3" t="s">
        <v>529</v>
      </c>
    </row>
    <row r="2">
      <c r="A2" s="2" t="s">
        <v>14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31.5" customHeight="1">
      <c r="A4" s="5" t="s">
        <v>5</v>
      </c>
      <c r="B4" s="5" t="s">
        <v>26</v>
      </c>
      <c r="C4" s="5" t="s">
        <v>27</v>
      </c>
      <c r="D4" s="5" t="s">
        <v>6</v>
      </c>
      <c r="E4" s="5" t="s">
        <v>28</v>
      </c>
      <c r="F4" s="5" t="s">
        <v>29</v>
      </c>
      <c r="G4" s="5" t="s">
        <v>12</v>
      </c>
      <c r="H4" s="5" t="s">
        <v>13</v>
      </c>
      <c r="I4" s="5" t="s">
        <v>30</v>
      </c>
      <c r="J4" s="5" t="s">
        <v>16</v>
      </c>
      <c r="K4" s="5" t="s">
        <v>31</v>
      </c>
    </row>
    <row r="5">
      <c r="A5" s="6">
        <v>46236.0</v>
      </c>
      <c r="B5" s="4" t="s">
        <v>32</v>
      </c>
      <c r="C5" s="4" t="s">
        <v>33</v>
      </c>
      <c r="D5" s="4" t="s">
        <v>18</v>
      </c>
      <c r="E5" s="4" t="s">
        <v>34</v>
      </c>
      <c r="F5" s="4" t="s">
        <v>35</v>
      </c>
      <c r="G5" s="8">
        <v>122579.0</v>
      </c>
      <c r="H5" s="9">
        <v>0.105</v>
      </c>
      <c r="I5" s="8">
        <f t="shared" ref="I5:I22" si="1">ROUND(G5*H5,2)</f>
        <v>12870.8</v>
      </c>
      <c r="J5" s="8">
        <f t="shared" ref="J5:J22" si="2">ROUND(G5+I5,2)</f>
        <v>135449.8</v>
      </c>
      <c r="K5" s="4" t="s">
        <v>49</v>
      </c>
    </row>
    <row r="6">
      <c r="A6" s="6">
        <v>46239.0</v>
      </c>
      <c r="B6" s="4" t="s">
        <v>51</v>
      </c>
      <c r="C6" s="4" t="s">
        <v>53</v>
      </c>
      <c r="D6" s="4" t="s">
        <v>37</v>
      </c>
      <c r="E6" s="4" t="s">
        <v>34</v>
      </c>
      <c r="F6" s="4" t="s">
        <v>35</v>
      </c>
      <c r="G6" s="8">
        <v>122260.0</v>
      </c>
      <c r="H6" s="9">
        <v>0.105</v>
      </c>
      <c r="I6" s="8">
        <f t="shared" si="1"/>
        <v>12837.3</v>
      </c>
      <c r="J6" s="8">
        <f t="shared" si="2"/>
        <v>135097.3</v>
      </c>
      <c r="K6" s="4" t="s">
        <v>47</v>
      </c>
    </row>
    <row r="7">
      <c r="A7" s="6">
        <v>46242.0</v>
      </c>
      <c r="B7" s="4" t="s">
        <v>62</v>
      </c>
      <c r="C7" s="4" t="s">
        <v>63</v>
      </c>
      <c r="D7" s="4" t="s">
        <v>37</v>
      </c>
      <c r="E7" s="4" t="s">
        <v>65</v>
      </c>
      <c r="F7" s="4" t="s">
        <v>67</v>
      </c>
      <c r="G7" s="8">
        <v>111457.0</v>
      </c>
      <c r="H7" s="9">
        <v>0.21</v>
      </c>
      <c r="I7" s="8">
        <f t="shared" si="1"/>
        <v>23405.97</v>
      </c>
      <c r="J7" s="8">
        <f t="shared" si="2"/>
        <v>134862.97</v>
      </c>
      <c r="K7" s="4" t="s">
        <v>43</v>
      </c>
    </row>
    <row r="8">
      <c r="A8" s="6">
        <v>46245.0</v>
      </c>
      <c r="B8" s="4" t="s">
        <v>72</v>
      </c>
      <c r="C8" s="4" t="s">
        <v>73</v>
      </c>
      <c r="D8" s="4" t="s">
        <v>18</v>
      </c>
      <c r="E8" s="4" t="s">
        <v>65</v>
      </c>
      <c r="F8" s="4" t="s">
        <v>67</v>
      </c>
      <c r="G8" s="8">
        <v>73911.0</v>
      </c>
      <c r="H8" s="9">
        <v>0.21</v>
      </c>
      <c r="I8" s="8">
        <f t="shared" si="1"/>
        <v>15521.31</v>
      </c>
      <c r="J8" s="8">
        <f t="shared" si="2"/>
        <v>89432.31</v>
      </c>
      <c r="K8" s="4" t="s">
        <v>40</v>
      </c>
    </row>
    <row r="9">
      <c r="A9" s="6">
        <v>46248.0</v>
      </c>
      <c r="B9" s="4" t="s">
        <v>77</v>
      </c>
      <c r="C9" s="4" t="s">
        <v>78</v>
      </c>
      <c r="D9" s="4" t="s">
        <v>37</v>
      </c>
      <c r="E9" s="4" t="s">
        <v>79</v>
      </c>
      <c r="F9" s="4" t="s">
        <v>81</v>
      </c>
      <c r="G9" s="8">
        <v>120752.0</v>
      </c>
      <c r="H9" s="9">
        <v>0.21</v>
      </c>
      <c r="I9" s="8">
        <f t="shared" si="1"/>
        <v>25357.92</v>
      </c>
      <c r="J9" s="8">
        <f t="shared" si="2"/>
        <v>146109.92</v>
      </c>
      <c r="K9" s="4" t="s">
        <v>36</v>
      </c>
    </row>
    <row r="10">
      <c r="A10" s="6">
        <v>46251.0</v>
      </c>
      <c r="B10" s="4" t="s">
        <v>84</v>
      </c>
      <c r="C10" s="4" t="s">
        <v>85</v>
      </c>
      <c r="D10" s="4" t="s">
        <v>37</v>
      </c>
      <c r="E10" s="4" t="s">
        <v>86</v>
      </c>
      <c r="F10" s="4" t="s">
        <v>88</v>
      </c>
      <c r="G10" s="8">
        <v>42081.0</v>
      </c>
      <c r="H10" s="9">
        <v>0.21</v>
      </c>
      <c r="I10" s="8">
        <f t="shared" si="1"/>
        <v>8837.01</v>
      </c>
      <c r="J10" s="8">
        <f t="shared" si="2"/>
        <v>50918.01</v>
      </c>
      <c r="K10" s="4" t="s">
        <v>49</v>
      </c>
    </row>
    <row r="11">
      <c r="A11" s="6">
        <v>46254.0</v>
      </c>
      <c r="B11" s="4" t="s">
        <v>90</v>
      </c>
      <c r="C11" s="4" t="s">
        <v>91</v>
      </c>
      <c r="D11" s="4" t="s">
        <v>18</v>
      </c>
      <c r="E11" s="4" t="s">
        <v>94</v>
      </c>
      <c r="F11" s="4" t="s">
        <v>95</v>
      </c>
      <c r="G11" s="8">
        <v>18367.0</v>
      </c>
      <c r="H11" s="9">
        <v>0.21</v>
      </c>
      <c r="I11" s="8">
        <f t="shared" si="1"/>
        <v>3857.07</v>
      </c>
      <c r="J11" s="8">
        <f t="shared" si="2"/>
        <v>22224.07</v>
      </c>
      <c r="K11" s="4" t="s">
        <v>47</v>
      </c>
    </row>
    <row r="12">
      <c r="A12" s="6">
        <v>46257.0</v>
      </c>
      <c r="B12" s="4" t="s">
        <v>97</v>
      </c>
      <c r="C12" s="4" t="s">
        <v>98</v>
      </c>
      <c r="D12" s="4" t="s">
        <v>37</v>
      </c>
      <c r="E12" s="4" t="s">
        <v>100</v>
      </c>
      <c r="F12" s="4" t="s">
        <v>101</v>
      </c>
      <c r="G12" s="8">
        <v>27036.0</v>
      </c>
      <c r="H12" s="9">
        <v>0.21</v>
      </c>
      <c r="I12" s="8">
        <f t="shared" si="1"/>
        <v>5677.56</v>
      </c>
      <c r="J12" s="8">
        <f t="shared" si="2"/>
        <v>32713.56</v>
      </c>
      <c r="K12" s="4" t="s">
        <v>43</v>
      </c>
    </row>
    <row r="13">
      <c r="A13" s="6">
        <v>46260.0</v>
      </c>
      <c r="B13" s="4" t="s">
        <v>103</v>
      </c>
      <c r="C13" s="4" t="s">
        <v>104</v>
      </c>
      <c r="D13" s="4" t="s">
        <v>37</v>
      </c>
      <c r="E13" s="4" t="s">
        <v>106</v>
      </c>
      <c r="F13" s="4" t="s">
        <v>107</v>
      </c>
      <c r="G13" s="8">
        <v>27558.0</v>
      </c>
      <c r="H13" s="9">
        <v>0.21</v>
      </c>
      <c r="I13" s="8">
        <f t="shared" si="1"/>
        <v>5787.18</v>
      </c>
      <c r="J13" s="8">
        <f t="shared" si="2"/>
        <v>33345.18</v>
      </c>
      <c r="K13" s="4" t="s">
        <v>40</v>
      </c>
    </row>
    <row r="14">
      <c r="A14" s="6">
        <v>46236.0</v>
      </c>
      <c r="B14" s="4" t="s">
        <v>111</v>
      </c>
      <c r="C14" s="4" t="s">
        <v>112</v>
      </c>
      <c r="D14" s="4" t="s">
        <v>18</v>
      </c>
      <c r="E14" s="4" t="s">
        <v>113</v>
      </c>
      <c r="F14" s="4" t="s">
        <v>114</v>
      </c>
      <c r="G14" s="8">
        <v>138519.0</v>
      </c>
      <c r="H14" s="9">
        <v>0.21</v>
      </c>
      <c r="I14" s="8">
        <f t="shared" si="1"/>
        <v>29088.99</v>
      </c>
      <c r="J14" s="8">
        <f t="shared" si="2"/>
        <v>167607.99</v>
      </c>
      <c r="K14" s="4" t="s">
        <v>36</v>
      </c>
    </row>
    <row r="15">
      <c r="A15" s="6">
        <v>46239.0</v>
      </c>
      <c r="B15" s="4" t="s">
        <v>118</v>
      </c>
      <c r="C15" s="4" t="s">
        <v>119</v>
      </c>
      <c r="D15" s="4" t="s">
        <v>37</v>
      </c>
      <c r="E15" s="4" t="s">
        <v>123</v>
      </c>
      <c r="F15" s="4" t="s">
        <v>124</v>
      </c>
      <c r="G15" s="8">
        <v>30455.0</v>
      </c>
      <c r="H15" s="9">
        <v>0.21</v>
      </c>
      <c r="I15" s="8">
        <f t="shared" si="1"/>
        <v>6395.55</v>
      </c>
      <c r="J15" s="8">
        <f t="shared" si="2"/>
        <v>36850.55</v>
      </c>
      <c r="K15" s="4" t="s">
        <v>49</v>
      </c>
    </row>
    <row r="16">
      <c r="A16" s="6">
        <v>46242.0</v>
      </c>
      <c r="B16" s="4" t="s">
        <v>127</v>
      </c>
      <c r="C16" s="4" t="s">
        <v>128</v>
      </c>
      <c r="D16" s="4" t="s">
        <v>37</v>
      </c>
      <c r="E16" s="4" t="s">
        <v>130</v>
      </c>
      <c r="F16" s="4" t="s">
        <v>131</v>
      </c>
      <c r="G16" s="8">
        <v>50228.0</v>
      </c>
      <c r="H16" s="9">
        <v>0.21</v>
      </c>
      <c r="I16" s="8">
        <f t="shared" si="1"/>
        <v>10547.88</v>
      </c>
      <c r="J16" s="8">
        <f t="shared" si="2"/>
        <v>60775.88</v>
      </c>
      <c r="K16" s="4" t="s">
        <v>47</v>
      </c>
    </row>
    <row r="17">
      <c r="A17" s="6">
        <v>46245.0</v>
      </c>
      <c r="B17" s="4" t="s">
        <v>134</v>
      </c>
      <c r="C17" s="4" t="s">
        <v>136</v>
      </c>
      <c r="D17" s="4" t="s">
        <v>18</v>
      </c>
      <c r="E17" s="4" t="s">
        <v>130</v>
      </c>
      <c r="F17" s="4" t="s">
        <v>131</v>
      </c>
      <c r="G17" s="8">
        <v>34810.0</v>
      </c>
      <c r="H17" s="9">
        <v>0.21</v>
      </c>
      <c r="I17" s="8">
        <f t="shared" si="1"/>
        <v>7310.1</v>
      </c>
      <c r="J17" s="8">
        <f t="shared" si="2"/>
        <v>42120.1</v>
      </c>
      <c r="K17" s="4" t="s">
        <v>43</v>
      </c>
    </row>
    <row r="18">
      <c r="A18" s="6">
        <v>46248.0</v>
      </c>
      <c r="B18" s="4" t="s">
        <v>141</v>
      </c>
      <c r="C18" s="4" t="s">
        <v>142</v>
      </c>
      <c r="D18" s="4" t="s">
        <v>37</v>
      </c>
      <c r="E18" s="4" t="s">
        <v>143</v>
      </c>
      <c r="F18" s="4" t="s">
        <v>144</v>
      </c>
      <c r="G18" s="8">
        <v>63919.0</v>
      </c>
      <c r="H18" s="9">
        <v>0.21</v>
      </c>
      <c r="I18" s="8">
        <f t="shared" si="1"/>
        <v>13422.99</v>
      </c>
      <c r="J18" s="8">
        <f t="shared" si="2"/>
        <v>77341.99</v>
      </c>
      <c r="K18" s="4" t="s">
        <v>40</v>
      </c>
    </row>
    <row r="19">
      <c r="A19" s="6">
        <v>46251.0</v>
      </c>
      <c r="B19" s="4" t="s">
        <v>147</v>
      </c>
      <c r="C19" s="4" t="s">
        <v>148</v>
      </c>
      <c r="D19" s="4" t="s">
        <v>37</v>
      </c>
      <c r="E19" s="4" t="s">
        <v>143</v>
      </c>
      <c r="F19" s="4" t="s">
        <v>144</v>
      </c>
      <c r="G19" s="8">
        <v>17936.0</v>
      </c>
      <c r="H19" s="9">
        <v>0.21</v>
      </c>
      <c r="I19" s="8">
        <f t="shared" si="1"/>
        <v>3766.56</v>
      </c>
      <c r="J19" s="8">
        <f t="shared" si="2"/>
        <v>21702.56</v>
      </c>
      <c r="K19" s="4" t="s">
        <v>36</v>
      </c>
    </row>
    <row r="20">
      <c r="A20" s="6">
        <v>46254.0</v>
      </c>
      <c r="B20" s="4" t="s">
        <v>151</v>
      </c>
      <c r="C20" s="4" t="s">
        <v>152</v>
      </c>
      <c r="D20" s="4" t="s">
        <v>18</v>
      </c>
      <c r="E20" s="4" t="s">
        <v>130</v>
      </c>
      <c r="F20" s="4" t="s">
        <v>131</v>
      </c>
      <c r="G20" s="8">
        <v>40368.0</v>
      </c>
      <c r="H20" s="9">
        <v>0.21</v>
      </c>
      <c r="I20" s="8">
        <f t="shared" si="1"/>
        <v>8477.28</v>
      </c>
      <c r="J20" s="8">
        <f t="shared" si="2"/>
        <v>48845.28</v>
      </c>
      <c r="K20" s="4" t="s">
        <v>49</v>
      </c>
    </row>
    <row r="21" ht="15.75" customHeight="1">
      <c r="A21" s="6">
        <v>46257.0</v>
      </c>
      <c r="B21" s="4" t="s">
        <v>155</v>
      </c>
      <c r="C21" s="4" t="s">
        <v>156</v>
      </c>
      <c r="D21" s="4" t="s">
        <v>37</v>
      </c>
      <c r="E21" s="4" t="s">
        <v>123</v>
      </c>
      <c r="F21" s="4" t="s">
        <v>124</v>
      </c>
      <c r="G21" s="8">
        <v>48723.0</v>
      </c>
      <c r="H21" s="9">
        <v>0.21</v>
      </c>
      <c r="I21" s="8">
        <f t="shared" si="1"/>
        <v>10231.83</v>
      </c>
      <c r="J21" s="8">
        <f t="shared" si="2"/>
        <v>58954.83</v>
      </c>
      <c r="K21" s="4" t="s">
        <v>47</v>
      </c>
    </row>
    <row r="22" ht="15.75" customHeight="1">
      <c r="A22" s="6">
        <v>46260.0</v>
      </c>
      <c r="B22" s="4" t="s">
        <v>160</v>
      </c>
      <c r="C22" s="4" t="s">
        <v>161</v>
      </c>
      <c r="D22" s="4" t="s">
        <v>37</v>
      </c>
      <c r="E22" s="4" t="s">
        <v>162</v>
      </c>
      <c r="F22" s="4" t="s">
        <v>163</v>
      </c>
      <c r="G22" s="8">
        <v>21102.0</v>
      </c>
      <c r="H22" s="9">
        <v>0.21</v>
      </c>
      <c r="I22" s="8">
        <f t="shared" si="1"/>
        <v>4431.42</v>
      </c>
      <c r="J22" s="8">
        <f t="shared" si="2"/>
        <v>25533.42</v>
      </c>
      <c r="K22" s="4" t="s">
        <v>43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2" width="16.0"/>
    <col customWidth="1" min="3" max="3" width="11.25"/>
    <col customWidth="1" min="4" max="6" width="27.0"/>
    <col customWidth="1" min="7" max="7" width="6.75"/>
    <col customWidth="1" min="8" max="8" width="9.88"/>
    <col customWidth="1" min="9" max="9" width="9.0"/>
    <col customWidth="1" min="10" max="10" width="8.5"/>
    <col customWidth="1" min="11" max="11" width="9.38"/>
    <col customWidth="1" min="12" max="12" width="19.0"/>
    <col customWidth="1" min="13" max="26" width="8.63"/>
  </cols>
  <sheetData>
    <row r="1" ht="30.0" customHeight="1">
      <c r="A1" s="10" t="s">
        <v>592</v>
      </c>
    </row>
    <row r="2">
      <c r="A2" s="11" t="s">
        <v>594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31.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15</v>
      </c>
      <c r="K4" s="5" t="s">
        <v>16</v>
      </c>
      <c r="L4" s="5" t="s">
        <v>17</v>
      </c>
    </row>
    <row r="5">
      <c r="A5" s="12">
        <v>46266.0</v>
      </c>
      <c r="B5" s="13" t="s">
        <v>37</v>
      </c>
      <c r="C5" s="13" t="s">
        <v>595</v>
      </c>
      <c r="D5" s="13" t="s">
        <v>20</v>
      </c>
      <c r="E5" s="4"/>
      <c r="F5" s="13" t="s">
        <v>22</v>
      </c>
      <c r="G5" s="14">
        <v>2.0</v>
      </c>
      <c r="H5" s="15">
        <v>65470.0</v>
      </c>
      <c r="I5" s="16">
        <v>0.21</v>
      </c>
      <c r="J5" s="8">
        <f t="shared" ref="J5:J59" si="1">ROUND(H5*I5,2)</f>
        <v>13748.7</v>
      </c>
      <c r="K5" s="8">
        <f t="shared" ref="K5:K59" si="2">ROUND(H5+J5,2)</f>
        <v>79218.7</v>
      </c>
      <c r="L5" s="13" t="s">
        <v>36</v>
      </c>
    </row>
    <row r="6">
      <c r="A6" s="12">
        <v>46266.0</v>
      </c>
      <c r="B6" s="13" t="s">
        <v>37</v>
      </c>
      <c r="C6" s="13" t="s">
        <v>596</v>
      </c>
      <c r="D6" s="13" t="s">
        <v>20</v>
      </c>
      <c r="E6" s="4"/>
      <c r="F6" s="13" t="s">
        <v>46</v>
      </c>
      <c r="G6" s="14">
        <v>3.0</v>
      </c>
      <c r="H6" s="15">
        <v>91414.0</v>
      </c>
      <c r="I6" s="16">
        <v>0.21</v>
      </c>
      <c r="J6" s="8">
        <f t="shared" si="1"/>
        <v>19196.94</v>
      </c>
      <c r="K6" s="8">
        <f t="shared" si="2"/>
        <v>110610.94</v>
      </c>
      <c r="L6" s="13" t="s">
        <v>43</v>
      </c>
    </row>
    <row r="7">
      <c r="A7" s="12">
        <v>46267.0</v>
      </c>
      <c r="B7" s="13" t="s">
        <v>37</v>
      </c>
      <c r="C7" s="13" t="s">
        <v>597</v>
      </c>
      <c r="D7" s="13" t="s">
        <v>20</v>
      </c>
      <c r="E7" s="4"/>
      <c r="F7" s="13" t="s">
        <v>598</v>
      </c>
      <c r="G7" s="14">
        <v>4.0</v>
      </c>
      <c r="H7" s="15">
        <v>74093.0</v>
      </c>
      <c r="I7" s="16">
        <v>0.21</v>
      </c>
      <c r="J7" s="8">
        <f t="shared" si="1"/>
        <v>15559.53</v>
      </c>
      <c r="K7" s="8">
        <f t="shared" si="2"/>
        <v>89652.53</v>
      </c>
      <c r="L7" s="13" t="s">
        <v>40</v>
      </c>
    </row>
    <row r="8">
      <c r="A8" s="12">
        <v>46267.0</v>
      </c>
      <c r="B8" s="13" t="s">
        <v>37</v>
      </c>
      <c r="C8" s="13" t="s">
        <v>599</v>
      </c>
      <c r="D8" s="13" t="s">
        <v>20</v>
      </c>
      <c r="E8" s="4"/>
      <c r="F8" s="13" t="s">
        <v>25</v>
      </c>
      <c r="G8" s="14">
        <v>5.0</v>
      </c>
      <c r="H8" s="15">
        <v>100037.0</v>
      </c>
      <c r="I8" s="16">
        <v>0.21</v>
      </c>
      <c r="J8" s="8">
        <f t="shared" si="1"/>
        <v>21007.77</v>
      </c>
      <c r="K8" s="8">
        <f t="shared" si="2"/>
        <v>121044.77</v>
      </c>
      <c r="L8" s="13" t="s">
        <v>36</v>
      </c>
    </row>
    <row r="9">
      <c r="A9" s="12">
        <v>46268.0</v>
      </c>
      <c r="B9" s="13" t="s">
        <v>37</v>
      </c>
      <c r="C9" s="13" t="s">
        <v>600</v>
      </c>
      <c r="D9" s="13" t="s">
        <v>20</v>
      </c>
      <c r="E9" s="4"/>
      <c r="F9" s="13" t="s">
        <v>22</v>
      </c>
      <c r="G9" s="14">
        <v>1.0</v>
      </c>
      <c r="H9" s="15">
        <v>82716.0</v>
      </c>
      <c r="I9" s="16">
        <v>0.21</v>
      </c>
      <c r="J9" s="8">
        <f t="shared" si="1"/>
        <v>17370.36</v>
      </c>
      <c r="K9" s="8">
        <f t="shared" si="2"/>
        <v>100086.36</v>
      </c>
      <c r="L9" s="13" t="s">
        <v>49</v>
      </c>
    </row>
    <row r="10">
      <c r="A10" s="12">
        <v>46268.0</v>
      </c>
      <c r="B10" s="13" t="s">
        <v>37</v>
      </c>
      <c r="C10" s="13" t="s">
        <v>601</v>
      </c>
      <c r="D10" s="13" t="s">
        <v>20</v>
      </c>
      <c r="E10" s="4"/>
      <c r="F10" s="13" t="s">
        <v>46</v>
      </c>
      <c r="G10" s="14">
        <v>2.0</v>
      </c>
      <c r="H10" s="15">
        <v>108660.0</v>
      </c>
      <c r="I10" s="16">
        <v>0.21</v>
      </c>
      <c r="J10" s="8">
        <f t="shared" si="1"/>
        <v>22818.6</v>
      </c>
      <c r="K10" s="8">
        <f t="shared" si="2"/>
        <v>131478.6</v>
      </c>
      <c r="L10" s="13" t="s">
        <v>40</v>
      </c>
    </row>
    <row r="11">
      <c r="A11" s="12">
        <v>46269.0</v>
      </c>
      <c r="B11" s="13" t="s">
        <v>37</v>
      </c>
      <c r="C11" s="13" t="s">
        <v>602</v>
      </c>
      <c r="D11" s="13" t="s">
        <v>20</v>
      </c>
      <c r="E11" s="4"/>
      <c r="F11" s="13" t="s">
        <v>598</v>
      </c>
      <c r="G11" s="14">
        <v>3.0</v>
      </c>
      <c r="H11" s="15">
        <v>91339.0</v>
      </c>
      <c r="I11" s="16">
        <v>0.21</v>
      </c>
      <c r="J11" s="8">
        <f t="shared" si="1"/>
        <v>19181.19</v>
      </c>
      <c r="K11" s="8">
        <f t="shared" si="2"/>
        <v>110520.19</v>
      </c>
      <c r="L11" s="13" t="s">
        <v>47</v>
      </c>
    </row>
    <row r="12">
      <c r="A12" s="12">
        <v>46269.0</v>
      </c>
      <c r="B12" s="13" t="s">
        <v>18</v>
      </c>
      <c r="C12" s="13" t="s">
        <v>603</v>
      </c>
      <c r="D12" s="13" t="s">
        <v>604</v>
      </c>
      <c r="E12" s="13" t="s">
        <v>605</v>
      </c>
      <c r="F12" s="13" t="s">
        <v>25</v>
      </c>
      <c r="G12" s="14">
        <v>4.0</v>
      </c>
      <c r="H12" s="15">
        <v>117283.0</v>
      </c>
      <c r="I12" s="16">
        <v>0.21</v>
      </c>
      <c r="J12" s="8">
        <f t="shared" si="1"/>
        <v>24629.43</v>
      </c>
      <c r="K12" s="8">
        <f t="shared" si="2"/>
        <v>141912.43</v>
      </c>
      <c r="L12" s="13" t="s">
        <v>49</v>
      </c>
    </row>
    <row r="13">
      <c r="A13" s="12">
        <v>46269.0</v>
      </c>
      <c r="B13" s="13" t="s">
        <v>37</v>
      </c>
      <c r="C13" s="13" t="s">
        <v>606</v>
      </c>
      <c r="D13" s="13" t="s">
        <v>20</v>
      </c>
      <c r="E13" s="4"/>
      <c r="F13" s="13" t="s">
        <v>39</v>
      </c>
      <c r="G13" s="14">
        <v>5.0</v>
      </c>
      <c r="H13" s="15">
        <v>143227.0</v>
      </c>
      <c r="I13" s="16">
        <v>0.21</v>
      </c>
      <c r="J13" s="8">
        <f t="shared" si="1"/>
        <v>30077.67</v>
      </c>
      <c r="K13" s="8">
        <f t="shared" si="2"/>
        <v>173304.67</v>
      </c>
      <c r="L13" s="13" t="s">
        <v>40</v>
      </c>
    </row>
    <row r="14">
      <c r="A14" s="12">
        <v>46270.0</v>
      </c>
      <c r="B14" s="13" t="s">
        <v>37</v>
      </c>
      <c r="C14" s="13" t="s">
        <v>607</v>
      </c>
      <c r="D14" s="13" t="s">
        <v>20</v>
      </c>
      <c r="E14" s="4"/>
      <c r="F14" s="13" t="s">
        <v>46</v>
      </c>
      <c r="G14" s="14">
        <v>1.0</v>
      </c>
      <c r="H14" s="15">
        <v>158165.0</v>
      </c>
      <c r="I14" s="16">
        <v>0.21</v>
      </c>
      <c r="J14" s="8">
        <f t="shared" si="1"/>
        <v>33214.65</v>
      </c>
      <c r="K14" s="8">
        <f t="shared" si="2"/>
        <v>191379.65</v>
      </c>
      <c r="L14" s="13" t="s">
        <v>40</v>
      </c>
    </row>
    <row r="15">
      <c r="A15" s="12">
        <v>46270.0</v>
      </c>
      <c r="B15" s="13" t="s">
        <v>37</v>
      </c>
      <c r="C15" s="13" t="s">
        <v>608</v>
      </c>
      <c r="D15" s="13" t="s">
        <v>20</v>
      </c>
      <c r="E15" s="4"/>
      <c r="F15" s="13" t="s">
        <v>609</v>
      </c>
      <c r="G15" s="14">
        <v>2.0</v>
      </c>
      <c r="H15" s="15">
        <v>195413.0</v>
      </c>
      <c r="I15" s="16">
        <v>0.21</v>
      </c>
      <c r="J15" s="8">
        <f t="shared" si="1"/>
        <v>41036.73</v>
      </c>
      <c r="K15" s="8">
        <f t="shared" si="2"/>
        <v>236449.73</v>
      </c>
      <c r="L15" s="13" t="s">
        <v>36</v>
      </c>
    </row>
    <row r="16">
      <c r="A16" s="12">
        <v>46270.0</v>
      </c>
      <c r="B16" s="13" t="s">
        <v>37</v>
      </c>
      <c r="C16" s="13" t="s">
        <v>610</v>
      </c>
      <c r="D16" s="13" t="s">
        <v>20</v>
      </c>
      <c r="E16" s="4"/>
      <c r="F16" s="13" t="s">
        <v>598</v>
      </c>
      <c r="G16" s="14">
        <v>3.0</v>
      </c>
      <c r="H16" s="15">
        <v>232661.0</v>
      </c>
      <c r="I16" s="16">
        <v>0.21</v>
      </c>
      <c r="J16" s="8">
        <f t="shared" si="1"/>
        <v>48858.81</v>
      </c>
      <c r="K16" s="8">
        <f t="shared" si="2"/>
        <v>281519.81</v>
      </c>
      <c r="L16" s="13" t="s">
        <v>43</v>
      </c>
    </row>
    <row r="17">
      <c r="A17" s="12">
        <v>46271.0</v>
      </c>
      <c r="B17" s="13" t="s">
        <v>18</v>
      </c>
      <c r="C17" s="13" t="s">
        <v>611</v>
      </c>
      <c r="D17" s="13" t="s">
        <v>58</v>
      </c>
      <c r="E17" s="13" t="s">
        <v>495</v>
      </c>
      <c r="F17" s="13" t="s">
        <v>39</v>
      </c>
      <c r="G17" s="14">
        <v>4.0</v>
      </c>
      <c r="H17" s="15">
        <v>168929.0</v>
      </c>
      <c r="I17" s="16">
        <v>0.21</v>
      </c>
      <c r="J17" s="8">
        <f t="shared" si="1"/>
        <v>35475.09</v>
      </c>
      <c r="K17" s="8">
        <f t="shared" si="2"/>
        <v>204404.09</v>
      </c>
      <c r="L17" s="13" t="s">
        <v>43</v>
      </c>
    </row>
    <row r="18">
      <c r="A18" s="12">
        <v>46271.0</v>
      </c>
      <c r="B18" s="13" t="s">
        <v>37</v>
      </c>
      <c r="C18" s="13" t="s">
        <v>612</v>
      </c>
      <c r="D18" s="13" t="s">
        <v>20</v>
      </c>
      <c r="E18" s="4"/>
      <c r="F18" s="13" t="s">
        <v>22</v>
      </c>
      <c r="G18" s="14">
        <v>5.0</v>
      </c>
      <c r="H18" s="15">
        <v>206177.0</v>
      </c>
      <c r="I18" s="16">
        <v>0.21</v>
      </c>
      <c r="J18" s="8">
        <f t="shared" si="1"/>
        <v>43297.17</v>
      </c>
      <c r="K18" s="8">
        <f t="shared" si="2"/>
        <v>249474.17</v>
      </c>
      <c r="L18" s="13" t="s">
        <v>47</v>
      </c>
    </row>
    <row r="19">
      <c r="A19" s="12">
        <v>46271.0</v>
      </c>
      <c r="B19" s="13" t="s">
        <v>37</v>
      </c>
      <c r="C19" s="13" t="s">
        <v>613</v>
      </c>
      <c r="D19" s="13" t="s">
        <v>20</v>
      </c>
      <c r="E19" s="4"/>
      <c r="F19" s="13" t="s">
        <v>46</v>
      </c>
      <c r="G19" s="14">
        <v>1.0</v>
      </c>
      <c r="H19" s="15">
        <v>243425.0</v>
      </c>
      <c r="I19" s="16">
        <v>0.21</v>
      </c>
      <c r="J19" s="8">
        <f t="shared" si="1"/>
        <v>51119.25</v>
      </c>
      <c r="K19" s="8">
        <f t="shared" si="2"/>
        <v>294544.25</v>
      </c>
      <c r="L19" s="13" t="s">
        <v>49</v>
      </c>
    </row>
    <row r="20">
      <c r="A20" s="12">
        <v>46272.0</v>
      </c>
      <c r="B20" s="13" t="s">
        <v>18</v>
      </c>
      <c r="C20" s="13" t="s">
        <v>614</v>
      </c>
      <c r="D20" s="13" t="s">
        <v>56</v>
      </c>
      <c r="E20" s="13" t="s">
        <v>615</v>
      </c>
      <c r="F20" s="13" t="s">
        <v>598</v>
      </c>
      <c r="G20" s="14">
        <v>2.0</v>
      </c>
      <c r="H20" s="15">
        <v>120667.0</v>
      </c>
      <c r="I20" s="16">
        <v>0.21</v>
      </c>
      <c r="J20" s="8">
        <f t="shared" si="1"/>
        <v>25340.07</v>
      </c>
      <c r="K20" s="8">
        <f t="shared" si="2"/>
        <v>146007.07</v>
      </c>
      <c r="L20" s="13" t="s">
        <v>49</v>
      </c>
    </row>
    <row r="21" ht="15.75" customHeight="1">
      <c r="A21" s="12">
        <v>46272.0</v>
      </c>
      <c r="B21" s="13" t="s">
        <v>37</v>
      </c>
      <c r="C21" s="13" t="s">
        <v>616</v>
      </c>
      <c r="D21" s="13" t="s">
        <v>20</v>
      </c>
      <c r="E21" s="4"/>
      <c r="F21" s="13" t="s">
        <v>25</v>
      </c>
      <c r="G21" s="14">
        <v>3.0</v>
      </c>
      <c r="H21" s="15">
        <v>146611.0</v>
      </c>
      <c r="I21" s="16">
        <v>0.21</v>
      </c>
      <c r="J21" s="8">
        <f t="shared" si="1"/>
        <v>30788.31</v>
      </c>
      <c r="K21" s="8">
        <f t="shared" si="2"/>
        <v>177399.31</v>
      </c>
      <c r="L21" s="13" t="s">
        <v>40</v>
      </c>
    </row>
    <row r="22" ht="15.75" customHeight="1">
      <c r="A22" s="12">
        <v>46273.0</v>
      </c>
      <c r="B22" s="13" t="s">
        <v>37</v>
      </c>
      <c r="C22" s="13" t="s">
        <v>617</v>
      </c>
      <c r="D22" s="13" t="s">
        <v>20</v>
      </c>
      <c r="E22" s="4"/>
      <c r="F22" s="13" t="s">
        <v>22</v>
      </c>
      <c r="G22" s="14">
        <v>4.0</v>
      </c>
      <c r="H22" s="15">
        <v>129290.0</v>
      </c>
      <c r="I22" s="16">
        <v>0.21</v>
      </c>
      <c r="J22" s="8">
        <f t="shared" si="1"/>
        <v>27150.9</v>
      </c>
      <c r="K22" s="8">
        <f t="shared" si="2"/>
        <v>156440.9</v>
      </c>
      <c r="L22" s="13" t="s">
        <v>47</v>
      </c>
    </row>
    <row r="23" ht="15.75" customHeight="1">
      <c r="A23" s="12">
        <v>46273.0</v>
      </c>
      <c r="B23" s="13" t="s">
        <v>37</v>
      </c>
      <c r="C23" s="13" t="s">
        <v>618</v>
      </c>
      <c r="D23" s="13" t="s">
        <v>20</v>
      </c>
      <c r="E23" s="4"/>
      <c r="F23" s="13" t="s">
        <v>46</v>
      </c>
      <c r="G23" s="14">
        <v>5.0</v>
      </c>
      <c r="H23" s="15">
        <v>155234.0</v>
      </c>
      <c r="I23" s="16">
        <v>0.21</v>
      </c>
      <c r="J23" s="8">
        <f t="shared" si="1"/>
        <v>32599.14</v>
      </c>
      <c r="K23" s="8">
        <f t="shared" si="2"/>
        <v>187833.14</v>
      </c>
      <c r="L23" s="13" t="s">
        <v>49</v>
      </c>
    </row>
    <row r="24" ht="15.75" customHeight="1">
      <c r="A24" s="12">
        <v>46274.0</v>
      </c>
      <c r="B24" s="13" t="s">
        <v>37</v>
      </c>
      <c r="C24" s="13" t="s">
        <v>619</v>
      </c>
      <c r="D24" s="13" t="s">
        <v>20</v>
      </c>
      <c r="E24" s="4"/>
      <c r="F24" s="13" t="s">
        <v>598</v>
      </c>
      <c r="G24" s="14">
        <v>1.0</v>
      </c>
      <c r="H24" s="15">
        <v>137913.0</v>
      </c>
      <c r="I24" s="16">
        <v>0.21</v>
      </c>
      <c r="J24" s="8">
        <f t="shared" si="1"/>
        <v>28961.73</v>
      </c>
      <c r="K24" s="8">
        <f t="shared" si="2"/>
        <v>166874.73</v>
      </c>
      <c r="L24" s="13" t="s">
        <v>43</v>
      </c>
    </row>
    <row r="25" ht="15.75" customHeight="1">
      <c r="A25" s="12">
        <v>46274.0</v>
      </c>
      <c r="B25" s="13" t="s">
        <v>37</v>
      </c>
      <c r="C25" s="13" t="s">
        <v>620</v>
      </c>
      <c r="D25" s="13" t="s">
        <v>20</v>
      </c>
      <c r="E25" s="4"/>
      <c r="F25" s="13" t="s">
        <v>25</v>
      </c>
      <c r="G25" s="14">
        <v>2.0</v>
      </c>
      <c r="H25" s="15">
        <v>58857.0</v>
      </c>
      <c r="I25" s="16">
        <v>0.21</v>
      </c>
      <c r="J25" s="8">
        <f t="shared" si="1"/>
        <v>12359.97</v>
      </c>
      <c r="K25" s="8">
        <f t="shared" si="2"/>
        <v>71216.97</v>
      </c>
      <c r="L25" s="13" t="s">
        <v>47</v>
      </c>
    </row>
    <row r="26" ht="15.75" customHeight="1">
      <c r="A26" s="12">
        <v>46275.0</v>
      </c>
      <c r="B26" s="13" t="s">
        <v>37</v>
      </c>
      <c r="C26" s="13" t="s">
        <v>621</v>
      </c>
      <c r="D26" s="13" t="s">
        <v>20</v>
      </c>
      <c r="E26" s="4"/>
      <c r="F26" s="13" t="s">
        <v>22</v>
      </c>
      <c r="G26" s="14">
        <v>3.0</v>
      </c>
      <c r="H26" s="15">
        <v>146536.0</v>
      </c>
      <c r="I26" s="16">
        <v>0.21</v>
      </c>
      <c r="J26" s="8">
        <f t="shared" si="1"/>
        <v>30772.56</v>
      </c>
      <c r="K26" s="8">
        <f t="shared" si="2"/>
        <v>177308.56</v>
      </c>
      <c r="L26" s="13" t="s">
        <v>36</v>
      </c>
    </row>
    <row r="27" ht="15.75" customHeight="1">
      <c r="A27" s="12">
        <v>46275.0</v>
      </c>
      <c r="B27" s="13" t="s">
        <v>37</v>
      </c>
      <c r="C27" s="13" t="s">
        <v>622</v>
      </c>
      <c r="D27" s="13" t="s">
        <v>20</v>
      </c>
      <c r="E27" s="4"/>
      <c r="F27" s="13" t="s">
        <v>46</v>
      </c>
      <c r="G27" s="14">
        <v>4.0</v>
      </c>
      <c r="H27" s="15">
        <v>67480.0</v>
      </c>
      <c r="I27" s="16">
        <v>0.21</v>
      </c>
      <c r="J27" s="8">
        <f t="shared" si="1"/>
        <v>14170.8</v>
      </c>
      <c r="K27" s="8">
        <f t="shared" si="2"/>
        <v>81650.8</v>
      </c>
      <c r="L27" s="13" t="s">
        <v>43</v>
      </c>
    </row>
    <row r="28" ht="15.75" customHeight="1">
      <c r="A28" s="12">
        <v>46276.0</v>
      </c>
      <c r="B28" s="13" t="s">
        <v>18</v>
      </c>
      <c r="C28" s="13" t="s">
        <v>623</v>
      </c>
      <c r="D28" s="13" t="s">
        <v>624</v>
      </c>
      <c r="E28" s="13" t="s">
        <v>625</v>
      </c>
      <c r="F28" s="13" t="s">
        <v>598</v>
      </c>
      <c r="G28" s="14">
        <v>5.0</v>
      </c>
      <c r="H28" s="15">
        <v>155159.0</v>
      </c>
      <c r="I28" s="16">
        <v>0.21</v>
      </c>
      <c r="J28" s="8">
        <f t="shared" si="1"/>
        <v>32583.39</v>
      </c>
      <c r="K28" s="8">
        <f t="shared" si="2"/>
        <v>187742.39</v>
      </c>
      <c r="L28" s="13" t="s">
        <v>40</v>
      </c>
    </row>
    <row r="29" ht="15.75" customHeight="1">
      <c r="A29" s="12">
        <v>46276.0</v>
      </c>
      <c r="B29" s="13" t="s">
        <v>37</v>
      </c>
      <c r="C29" s="13" t="s">
        <v>626</v>
      </c>
      <c r="D29" s="13" t="s">
        <v>20</v>
      </c>
      <c r="E29" s="4"/>
      <c r="F29" s="13" t="s">
        <v>25</v>
      </c>
      <c r="G29" s="14">
        <v>1.0</v>
      </c>
      <c r="H29" s="15">
        <v>76103.0</v>
      </c>
      <c r="I29" s="16">
        <v>0.21</v>
      </c>
      <c r="J29" s="8">
        <f t="shared" si="1"/>
        <v>15981.63</v>
      </c>
      <c r="K29" s="8">
        <f t="shared" si="2"/>
        <v>92084.63</v>
      </c>
      <c r="L29" s="13" t="s">
        <v>36</v>
      </c>
    </row>
    <row r="30" ht="15.75" customHeight="1">
      <c r="A30" s="12">
        <v>46276.0</v>
      </c>
      <c r="B30" s="13" t="s">
        <v>18</v>
      </c>
      <c r="C30" s="13" t="s">
        <v>627</v>
      </c>
      <c r="D30" s="13" t="s">
        <v>58</v>
      </c>
      <c r="E30" s="13" t="s">
        <v>495</v>
      </c>
      <c r="F30" s="13" t="s">
        <v>39</v>
      </c>
      <c r="G30" s="14">
        <v>2.0</v>
      </c>
      <c r="H30" s="15">
        <v>102047.0</v>
      </c>
      <c r="I30" s="16">
        <v>0.21</v>
      </c>
      <c r="J30" s="8">
        <f t="shared" si="1"/>
        <v>21429.87</v>
      </c>
      <c r="K30" s="8">
        <f t="shared" si="2"/>
        <v>123476.87</v>
      </c>
      <c r="L30" s="13" t="s">
        <v>43</v>
      </c>
    </row>
    <row r="31" ht="15.75" customHeight="1">
      <c r="A31" s="12">
        <v>46277.0</v>
      </c>
      <c r="B31" s="13" t="s">
        <v>37</v>
      </c>
      <c r="C31" s="13" t="s">
        <v>628</v>
      </c>
      <c r="D31" s="13" t="s">
        <v>20</v>
      </c>
      <c r="E31" s="4"/>
      <c r="F31" s="13" t="s">
        <v>46</v>
      </c>
      <c r="G31" s="14">
        <v>3.0</v>
      </c>
      <c r="H31" s="15">
        <v>232989.0</v>
      </c>
      <c r="I31" s="16">
        <v>0.21</v>
      </c>
      <c r="J31" s="8">
        <f t="shared" si="1"/>
        <v>48927.69</v>
      </c>
      <c r="K31" s="8">
        <f t="shared" si="2"/>
        <v>281916.69</v>
      </c>
      <c r="L31" s="13" t="s">
        <v>43</v>
      </c>
    </row>
    <row r="32" ht="15.75" customHeight="1">
      <c r="A32" s="12">
        <v>46277.0</v>
      </c>
      <c r="B32" s="13" t="s">
        <v>37</v>
      </c>
      <c r="C32" s="13" t="s">
        <v>629</v>
      </c>
      <c r="D32" s="13" t="s">
        <v>20</v>
      </c>
      <c r="E32" s="4"/>
      <c r="F32" s="13" t="s">
        <v>609</v>
      </c>
      <c r="G32" s="14">
        <v>4.0</v>
      </c>
      <c r="H32" s="15">
        <v>125237.0</v>
      </c>
      <c r="I32" s="16">
        <v>0.21</v>
      </c>
      <c r="J32" s="8">
        <f t="shared" si="1"/>
        <v>26299.77</v>
      </c>
      <c r="K32" s="8">
        <f t="shared" si="2"/>
        <v>151536.77</v>
      </c>
      <c r="L32" s="13" t="s">
        <v>47</v>
      </c>
    </row>
    <row r="33" ht="15.75" customHeight="1">
      <c r="A33" s="12">
        <v>46277.0</v>
      </c>
      <c r="B33" s="13" t="s">
        <v>37</v>
      </c>
      <c r="C33" s="13" t="s">
        <v>630</v>
      </c>
      <c r="D33" s="13" t="s">
        <v>20</v>
      </c>
      <c r="E33" s="4"/>
      <c r="F33" s="13" t="s">
        <v>598</v>
      </c>
      <c r="G33" s="14">
        <v>5.0</v>
      </c>
      <c r="H33" s="15">
        <v>162485.0</v>
      </c>
      <c r="I33" s="16">
        <v>0.21</v>
      </c>
      <c r="J33" s="8">
        <f t="shared" si="1"/>
        <v>34121.85</v>
      </c>
      <c r="K33" s="8">
        <f t="shared" si="2"/>
        <v>196606.85</v>
      </c>
      <c r="L33" s="13" t="s">
        <v>49</v>
      </c>
    </row>
    <row r="34" ht="15.75" customHeight="1">
      <c r="A34" s="12">
        <v>46278.0</v>
      </c>
      <c r="B34" s="13" t="s">
        <v>37</v>
      </c>
      <c r="C34" s="13" t="s">
        <v>631</v>
      </c>
      <c r="D34" s="13" t="s">
        <v>20</v>
      </c>
      <c r="E34" s="4"/>
      <c r="F34" s="13" t="s">
        <v>39</v>
      </c>
      <c r="G34" s="14">
        <v>1.0</v>
      </c>
      <c r="H34" s="15">
        <v>243753.0</v>
      </c>
      <c r="I34" s="16">
        <v>0.21</v>
      </c>
      <c r="J34" s="8">
        <f t="shared" si="1"/>
        <v>51188.13</v>
      </c>
      <c r="K34" s="8">
        <f t="shared" si="2"/>
        <v>294941.13</v>
      </c>
      <c r="L34" s="13" t="s">
        <v>49</v>
      </c>
    </row>
    <row r="35" ht="15.75" customHeight="1">
      <c r="A35" s="12">
        <v>46278.0</v>
      </c>
      <c r="B35" s="13" t="s">
        <v>37</v>
      </c>
      <c r="C35" s="13" t="s">
        <v>632</v>
      </c>
      <c r="D35" s="13" t="s">
        <v>20</v>
      </c>
      <c r="E35" s="4"/>
      <c r="F35" s="13" t="s">
        <v>22</v>
      </c>
      <c r="G35" s="14">
        <v>2.0</v>
      </c>
      <c r="H35" s="15">
        <v>136001.0</v>
      </c>
      <c r="I35" s="16">
        <v>0.21</v>
      </c>
      <c r="J35" s="8">
        <f t="shared" si="1"/>
        <v>28560.21</v>
      </c>
      <c r="K35" s="8">
        <f t="shared" si="2"/>
        <v>164561.21</v>
      </c>
      <c r="L35" s="13" t="s">
        <v>40</v>
      </c>
    </row>
    <row r="36" ht="15.75" customHeight="1">
      <c r="A36" s="12">
        <v>46278.0</v>
      </c>
      <c r="B36" s="13" t="s">
        <v>18</v>
      </c>
      <c r="C36" s="13" t="s">
        <v>633</v>
      </c>
      <c r="D36" s="13" t="s">
        <v>58</v>
      </c>
      <c r="E36" s="13" t="s">
        <v>495</v>
      </c>
      <c r="F36" s="13" t="s">
        <v>46</v>
      </c>
      <c r="G36" s="14">
        <v>3.0</v>
      </c>
      <c r="H36" s="15">
        <v>173249.0</v>
      </c>
      <c r="I36" s="16">
        <v>0.21</v>
      </c>
      <c r="J36" s="8">
        <f t="shared" si="1"/>
        <v>36382.29</v>
      </c>
      <c r="K36" s="8">
        <f t="shared" si="2"/>
        <v>209631.29</v>
      </c>
      <c r="L36" s="13" t="s">
        <v>36</v>
      </c>
    </row>
    <row r="37" ht="15.75" customHeight="1">
      <c r="A37" s="12">
        <v>46279.0</v>
      </c>
      <c r="B37" s="13" t="s">
        <v>37</v>
      </c>
      <c r="C37" s="13" t="s">
        <v>634</v>
      </c>
      <c r="D37" s="13" t="s">
        <v>20</v>
      </c>
      <c r="E37" s="4"/>
      <c r="F37" s="13" t="s">
        <v>598</v>
      </c>
      <c r="G37" s="14">
        <v>4.0</v>
      </c>
      <c r="H37" s="15">
        <v>79487.0</v>
      </c>
      <c r="I37" s="16">
        <v>0.21</v>
      </c>
      <c r="J37" s="8">
        <f t="shared" si="1"/>
        <v>16692.27</v>
      </c>
      <c r="K37" s="8">
        <f t="shared" si="2"/>
        <v>96179.27</v>
      </c>
      <c r="L37" s="13" t="s">
        <v>36</v>
      </c>
    </row>
    <row r="38" ht="15.75" customHeight="1">
      <c r="A38" s="12">
        <v>46279.0</v>
      </c>
      <c r="B38" s="13" t="s">
        <v>37</v>
      </c>
      <c r="C38" s="13" t="s">
        <v>635</v>
      </c>
      <c r="D38" s="13" t="s">
        <v>20</v>
      </c>
      <c r="E38" s="4"/>
      <c r="F38" s="13" t="s">
        <v>25</v>
      </c>
      <c r="G38" s="14">
        <v>5.0</v>
      </c>
      <c r="H38" s="15">
        <v>105431.0</v>
      </c>
      <c r="I38" s="16">
        <v>0.21</v>
      </c>
      <c r="J38" s="8">
        <f t="shared" si="1"/>
        <v>22140.51</v>
      </c>
      <c r="K38" s="8">
        <f t="shared" si="2"/>
        <v>127571.51</v>
      </c>
      <c r="L38" s="13" t="s">
        <v>43</v>
      </c>
    </row>
    <row r="39" ht="15.75" customHeight="1">
      <c r="A39" s="12">
        <v>46280.0</v>
      </c>
      <c r="B39" s="13" t="s">
        <v>37</v>
      </c>
      <c r="C39" s="13" t="s">
        <v>636</v>
      </c>
      <c r="D39" s="13" t="s">
        <v>20</v>
      </c>
      <c r="E39" s="4"/>
      <c r="F39" s="13" t="s">
        <v>22</v>
      </c>
      <c r="G39" s="14">
        <v>1.0</v>
      </c>
      <c r="H39" s="15">
        <v>88110.0</v>
      </c>
      <c r="I39" s="16">
        <v>0.21</v>
      </c>
      <c r="J39" s="8">
        <f t="shared" si="1"/>
        <v>18503.1</v>
      </c>
      <c r="K39" s="8">
        <f t="shared" si="2"/>
        <v>106613.1</v>
      </c>
      <c r="L39" s="13" t="s">
        <v>40</v>
      </c>
    </row>
    <row r="40" ht="15.75" customHeight="1">
      <c r="A40" s="12">
        <v>46280.0</v>
      </c>
      <c r="B40" s="13" t="s">
        <v>37</v>
      </c>
      <c r="C40" s="13" t="s">
        <v>637</v>
      </c>
      <c r="D40" s="13" t="s">
        <v>20</v>
      </c>
      <c r="E40" s="4"/>
      <c r="F40" s="13" t="s">
        <v>46</v>
      </c>
      <c r="G40" s="14">
        <v>2.0</v>
      </c>
      <c r="H40" s="15">
        <v>114054.0</v>
      </c>
      <c r="I40" s="16">
        <v>0.21</v>
      </c>
      <c r="J40" s="8">
        <f t="shared" si="1"/>
        <v>23951.34</v>
      </c>
      <c r="K40" s="8">
        <f t="shared" si="2"/>
        <v>138005.34</v>
      </c>
      <c r="L40" s="13" t="s">
        <v>36</v>
      </c>
    </row>
    <row r="41" ht="15.75" customHeight="1">
      <c r="A41" s="12">
        <v>46281.0</v>
      </c>
      <c r="B41" s="13" t="s">
        <v>37</v>
      </c>
      <c r="C41" s="13" t="s">
        <v>638</v>
      </c>
      <c r="D41" s="13" t="s">
        <v>20</v>
      </c>
      <c r="E41" s="4"/>
      <c r="F41" s="13" t="s">
        <v>598</v>
      </c>
      <c r="G41" s="14">
        <v>3.0</v>
      </c>
      <c r="H41" s="15">
        <v>96733.0</v>
      </c>
      <c r="I41" s="16">
        <v>0.21</v>
      </c>
      <c r="J41" s="8">
        <f t="shared" si="1"/>
        <v>20313.93</v>
      </c>
      <c r="K41" s="8">
        <f t="shared" si="2"/>
        <v>117046.93</v>
      </c>
      <c r="L41" s="13" t="s">
        <v>49</v>
      </c>
    </row>
    <row r="42" ht="15.75" customHeight="1">
      <c r="A42" s="12">
        <v>46281.0</v>
      </c>
      <c r="B42" s="13" t="s">
        <v>37</v>
      </c>
      <c r="C42" s="13" t="s">
        <v>639</v>
      </c>
      <c r="D42" s="13" t="s">
        <v>20</v>
      </c>
      <c r="E42" s="4"/>
      <c r="F42" s="13" t="s">
        <v>25</v>
      </c>
      <c r="G42" s="14">
        <v>4.0</v>
      </c>
      <c r="H42" s="15">
        <v>122677.0</v>
      </c>
      <c r="I42" s="16">
        <v>0.21</v>
      </c>
      <c r="J42" s="8">
        <f t="shared" si="1"/>
        <v>25762.17</v>
      </c>
      <c r="K42" s="8">
        <f t="shared" si="2"/>
        <v>148439.17</v>
      </c>
      <c r="L42" s="13" t="s">
        <v>40</v>
      </c>
    </row>
    <row r="43" ht="15.75" customHeight="1">
      <c r="A43" s="12">
        <v>46282.0</v>
      </c>
      <c r="B43" s="13" t="s">
        <v>18</v>
      </c>
      <c r="C43" s="13" t="s">
        <v>640</v>
      </c>
      <c r="D43" s="13" t="s">
        <v>604</v>
      </c>
      <c r="E43" s="13" t="s">
        <v>605</v>
      </c>
      <c r="F43" s="13" t="s">
        <v>22</v>
      </c>
      <c r="G43" s="14">
        <v>5.0</v>
      </c>
      <c r="H43" s="15">
        <v>105356.0</v>
      </c>
      <c r="I43" s="16">
        <v>0.21</v>
      </c>
      <c r="J43" s="8">
        <f t="shared" si="1"/>
        <v>22124.76</v>
      </c>
      <c r="K43" s="8">
        <f t="shared" si="2"/>
        <v>127480.76</v>
      </c>
      <c r="L43" s="13" t="s">
        <v>47</v>
      </c>
    </row>
    <row r="44" ht="15.75" customHeight="1">
      <c r="A44" s="12">
        <v>46282.0</v>
      </c>
      <c r="B44" s="13" t="s">
        <v>18</v>
      </c>
      <c r="C44" s="13" t="s">
        <v>641</v>
      </c>
      <c r="D44" s="13" t="s">
        <v>54</v>
      </c>
      <c r="E44" s="13" t="s">
        <v>642</v>
      </c>
      <c r="F44" s="13" t="s">
        <v>46</v>
      </c>
      <c r="G44" s="14">
        <v>1.0</v>
      </c>
      <c r="H44" s="15">
        <v>131300.0</v>
      </c>
      <c r="I44" s="16">
        <v>0.21</v>
      </c>
      <c r="J44" s="8">
        <f t="shared" si="1"/>
        <v>27573</v>
      </c>
      <c r="K44" s="8">
        <f t="shared" si="2"/>
        <v>158873</v>
      </c>
      <c r="L44" s="13" t="s">
        <v>49</v>
      </c>
    </row>
    <row r="45" ht="15.75" customHeight="1">
      <c r="A45" s="12">
        <v>46283.0</v>
      </c>
      <c r="B45" s="13" t="s">
        <v>37</v>
      </c>
      <c r="C45" s="13" t="s">
        <v>643</v>
      </c>
      <c r="D45" s="13" t="s">
        <v>20</v>
      </c>
      <c r="E45" s="4"/>
      <c r="F45" s="13" t="s">
        <v>598</v>
      </c>
      <c r="G45" s="14">
        <v>2.0</v>
      </c>
      <c r="H45" s="15">
        <v>113979.0</v>
      </c>
      <c r="I45" s="16">
        <v>0.21</v>
      </c>
      <c r="J45" s="8">
        <f t="shared" si="1"/>
        <v>23935.59</v>
      </c>
      <c r="K45" s="8">
        <f t="shared" si="2"/>
        <v>137914.59</v>
      </c>
      <c r="L45" s="13" t="s">
        <v>43</v>
      </c>
    </row>
    <row r="46" ht="15.75" customHeight="1">
      <c r="A46" s="12">
        <v>46283.0</v>
      </c>
      <c r="B46" s="13" t="s">
        <v>37</v>
      </c>
      <c r="C46" s="13" t="s">
        <v>644</v>
      </c>
      <c r="D46" s="13" t="s">
        <v>20</v>
      </c>
      <c r="E46" s="4"/>
      <c r="F46" s="13" t="s">
        <v>25</v>
      </c>
      <c r="G46" s="14">
        <v>3.0</v>
      </c>
      <c r="H46" s="15">
        <v>139923.0</v>
      </c>
      <c r="I46" s="16">
        <v>0.21</v>
      </c>
      <c r="J46" s="8">
        <f t="shared" si="1"/>
        <v>29383.83</v>
      </c>
      <c r="K46" s="8">
        <f t="shared" si="2"/>
        <v>169306.83</v>
      </c>
      <c r="L46" s="13" t="s">
        <v>47</v>
      </c>
    </row>
    <row r="47" ht="15.75" customHeight="1">
      <c r="A47" s="12">
        <v>46283.0</v>
      </c>
      <c r="B47" s="13" t="s">
        <v>37</v>
      </c>
      <c r="C47" s="13" t="s">
        <v>645</v>
      </c>
      <c r="D47" s="13" t="s">
        <v>20</v>
      </c>
      <c r="E47" s="4"/>
      <c r="F47" s="13" t="s">
        <v>39</v>
      </c>
      <c r="G47" s="14">
        <v>4.0</v>
      </c>
      <c r="H47" s="15">
        <v>60867.0</v>
      </c>
      <c r="I47" s="16">
        <v>0.21</v>
      </c>
      <c r="J47" s="8">
        <f t="shared" si="1"/>
        <v>12782.07</v>
      </c>
      <c r="K47" s="8">
        <f t="shared" si="2"/>
        <v>73649.07</v>
      </c>
      <c r="L47" s="13" t="s">
        <v>49</v>
      </c>
    </row>
    <row r="48" ht="15.75" customHeight="1">
      <c r="A48" s="12">
        <v>46284.0</v>
      </c>
      <c r="B48" s="13" t="s">
        <v>37</v>
      </c>
      <c r="C48" s="13" t="s">
        <v>646</v>
      </c>
      <c r="D48" s="13" t="s">
        <v>20</v>
      </c>
      <c r="E48" s="4"/>
      <c r="F48" s="13" t="s">
        <v>46</v>
      </c>
      <c r="G48" s="14">
        <v>5.0</v>
      </c>
      <c r="H48" s="15">
        <v>162813.0</v>
      </c>
      <c r="I48" s="16">
        <v>0.21</v>
      </c>
      <c r="J48" s="8">
        <f t="shared" si="1"/>
        <v>34190.73</v>
      </c>
      <c r="K48" s="8">
        <f t="shared" si="2"/>
        <v>197003.73</v>
      </c>
      <c r="L48" s="13" t="s">
        <v>49</v>
      </c>
    </row>
    <row r="49" ht="15.75" customHeight="1">
      <c r="A49" s="12">
        <v>46284.0</v>
      </c>
      <c r="B49" s="13" t="s">
        <v>37</v>
      </c>
      <c r="C49" s="13" t="s">
        <v>647</v>
      </c>
      <c r="D49" s="13" t="s">
        <v>20</v>
      </c>
      <c r="E49" s="4"/>
      <c r="F49" s="13" t="s">
        <v>609</v>
      </c>
      <c r="G49" s="14">
        <v>1.0</v>
      </c>
      <c r="H49" s="15">
        <v>200061.0</v>
      </c>
      <c r="I49" s="16">
        <v>0.21</v>
      </c>
      <c r="J49" s="8">
        <f t="shared" si="1"/>
        <v>42012.81</v>
      </c>
      <c r="K49" s="8">
        <f t="shared" si="2"/>
        <v>242073.81</v>
      </c>
      <c r="L49" s="13" t="s">
        <v>40</v>
      </c>
    </row>
    <row r="50" ht="15.75" customHeight="1">
      <c r="A50" s="12">
        <v>46284.0</v>
      </c>
      <c r="B50" s="13" t="s">
        <v>37</v>
      </c>
      <c r="C50" s="13" t="s">
        <v>648</v>
      </c>
      <c r="D50" s="13" t="s">
        <v>20</v>
      </c>
      <c r="E50" s="4"/>
      <c r="F50" s="13" t="s">
        <v>598</v>
      </c>
      <c r="G50" s="14">
        <v>2.0</v>
      </c>
      <c r="H50" s="15">
        <v>237309.0</v>
      </c>
      <c r="I50" s="16">
        <v>0.21</v>
      </c>
      <c r="J50" s="8">
        <f t="shared" si="1"/>
        <v>49834.89</v>
      </c>
      <c r="K50" s="8">
        <f t="shared" si="2"/>
        <v>287143.89</v>
      </c>
      <c r="L50" s="13" t="s">
        <v>36</v>
      </c>
    </row>
    <row r="51" ht="15.75" customHeight="1">
      <c r="A51" s="12">
        <v>46285.0</v>
      </c>
      <c r="B51" s="13" t="s">
        <v>37</v>
      </c>
      <c r="C51" s="13" t="s">
        <v>649</v>
      </c>
      <c r="D51" s="13" t="s">
        <v>20</v>
      </c>
      <c r="E51" s="4"/>
      <c r="F51" s="13" t="s">
        <v>39</v>
      </c>
      <c r="G51" s="14">
        <v>3.0</v>
      </c>
      <c r="H51" s="15">
        <v>173577.0</v>
      </c>
      <c r="I51" s="16">
        <v>0.21</v>
      </c>
      <c r="J51" s="8">
        <f t="shared" si="1"/>
        <v>36451.17</v>
      </c>
      <c r="K51" s="8">
        <f t="shared" si="2"/>
        <v>210028.17</v>
      </c>
      <c r="L51" s="13" t="s">
        <v>36</v>
      </c>
    </row>
    <row r="52" ht="15.75" customHeight="1">
      <c r="A52" s="12">
        <v>46285.0</v>
      </c>
      <c r="B52" s="13" t="s">
        <v>18</v>
      </c>
      <c r="C52" s="13" t="s">
        <v>650</v>
      </c>
      <c r="D52" s="13" t="s">
        <v>651</v>
      </c>
      <c r="E52" s="13" t="s">
        <v>652</v>
      </c>
      <c r="F52" s="13" t="s">
        <v>22</v>
      </c>
      <c r="G52" s="14">
        <v>4.0</v>
      </c>
      <c r="H52" s="15">
        <v>210825.0</v>
      </c>
      <c r="I52" s="16">
        <v>0.21</v>
      </c>
      <c r="J52" s="8">
        <f t="shared" si="1"/>
        <v>44273.25</v>
      </c>
      <c r="K52" s="8">
        <f t="shared" si="2"/>
        <v>255098.25</v>
      </c>
      <c r="L52" s="13" t="s">
        <v>43</v>
      </c>
    </row>
    <row r="53" ht="15.75" customHeight="1">
      <c r="A53" s="12">
        <v>46285.0</v>
      </c>
      <c r="B53" s="13" t="s">
        <v>37</v>
      </c>
      <c r="C53" s="13" t="s">
        <v>653</v>
      </c>
      <c r="D53" s="13" t="s">
        <v>20</v>
      </c>
      <c r="E53" s="4"/>
      <c r="F53" s="13" t="s">
        <v>46</v>
      </c>
      <c r="G53" s="14">
        <v>5.0</v>
      </c>
      <c r="H53" s="15">
        <v>248073.0</v>
      </c>
      <c r="I53" s="16">
        <v>0.21</v>
      </c>
      <c r="J53" s="8">
        <f t="shared" si="1"/>
        <v>52095.33</v>
      </c>
      <c r="K53" s="8">
        <f t="shared" si="2"/>
        <v>300168.33</v>
      </c>
      <c r="L53" s="13" t="s">
        <v>47</v>
      </c>
    </row>
    <row r="54" ht="15.75" customHeight="1">
      <c r="A54" s="12">
        <v>46286.0</v>
      </c>
      <c r="B54" s="13" t="s">
        <v>37</v>
      </c>
      <c r="C54" s="13" t="s">
        <v>654</v>
      </c>
      <c r="D54" s="13" t="s">
        <v>20</v>
      </c>
      <c r="E54" s="4"/>
      <c r="F54" s="13" t="s">
        <v>598</v>
      </c>
      <c r="G54" s="14">
        <v>1.0</v>
      </c>
      <c r="H54" s="15">
        <v>143307.0</v>
      </c>
      <c r="I54" s="16">
        <v>0.21</v>
      </c>
      <c r="J54" s="8">
        <f t="shared" si="1"/>
        <v>30094.47</v>
      </c>
      <c r="K54" s="8">
        <f t="shared" si="2"/>
        <v>173401.47</v>
      </c>
      <c r="L54" s="13" t="s">
        <v>47</v>
      </c>
    </row>
    <row r="55" ht="15.75" customHeight="1">
      <c r="A55" s="12">
        <v>46286.0</v>
      </c>
      <c r="B55" s="13" t="s">
        <v>37</v>
      </c>
      <c r="C55" s="13" t="s">
        <v>655</v>
      </c>
      <c r="D55" s="13" t="s">
        <v>20</v>
      </c>
      <c r="E55" s="4"/>
      <c r="F55" s="13" t="s">
        <v>25</v>
      </c>
      <c r="G55" s="14">
        <v>2.0</v>
      </c>
      <c r="H55" s="15">
        <v>64251.0</v>
      </c>
      <c r="I55" s="16">
        <v>0.21</v>
      </c>
      <c r="J55" s="8">
        <f t="shared" si="1"/>
        <v>13492.71</v>
      </c>
      <c r="K55" s="8">
        <f t="shared" si="2"/>
        <v>77743.71</v>
      </c>
      <c r="L55" s="13" t="s">
        <v>49</v>
      </c>
    </row>
    <row r="56" ht="15.75" customHeight="1">
      <c r="A56" s="12">
        <v>46287.0</v>
      </c>
      <c r="B56" s="13" t="s">
        <v>18</v>
      </c>
      <c r="C56" s="13" t="s">
        <v>656</v>
      </c>
      <c r="D56" s="13" t="s">
        <v>54</v>
      </c>
      <c r="E56" s="13" t="s">
        <v>642</v>
      </c>
      <c r="F56" s="13" t="s">
        <v>22</v>
      </c>
      <c r="G56" s="14">
        <v>3.0</v>
      </c>
      <c r="H56" s="15">
        <v>151930.0</v>
      </c>
      <c r="I56" s="16">
        <v>0.21</v>
      </c>
      <c r="J56" s="8">
        <f t="shared" si="1"/>
        <v>31905.3</v>
      </c>
      <c r="K56" s="8">
        <f t="shared" si="2"/>
        <v>183835.3</v>
      </c>
      <c r="L56" s="13" t="s">
        <v>43</v>
      </c>
    </row>
    <row r="57" ht="15.75" customHeight="1">
      <c r="A57" s="12">
        <v>46287.0</v>
      </c>
      <c r="B57" s="13" t="s">
        <v>37</v>
      </c>
      <c r="C57" s="13" t="s">
        <v>657</v>
      </c>
      <c r="D57" s="13" t="s">
        <v>20</v>
      </c>
      <c r="E57" s="4"/>
      <c r="F57" s="13" t="s">
        <v>46</v>
      </c>
      <c r="G57" s="14">
        <v>4.0</v>
      </c>
      <c r="H57" s="15">
        <v>72874.0</v>
      </c>
      <c r="I57" s="16">
        <v>0.21</v>
      </c>
      <c r="J57" s="8">
        <f t="shared" si="1"/>
        <v>15303.54</v>
      </c>
      <c r="K57" s="8">
        <f t="shared" si="2"/>
        <v>88177.54</v>
      </c>
      <c r="L57" s="13" t="s">
        <v>47</v>
      </c>
    </row>
    <row r="58" ht="15.75" customHeight="1">
      <c r="A58" s="12">
        <v>46288.0</v>
      </c>
      <c r="B58" s="13" t="s">
        <v>37</v>
      </c>
      <c r="C58" s="13" t="s">
        <v>658</v>
      </c>
      <c r="D58" s="13" t="s">
        <v>20</v>
      </c>
      <c r="E58" s="4"/>
      <c r="F58" s="13" t="s">
        <v>598</v>
      </c>
      <c r="G58" s="14">
        <v>5.0</v>
      </c>
      <c r="H58" s="15">
        <v>160553.0</v>
      </c>
      <c r="I58" s="16">
        <v>0.21</v>
      </c>
      <c r="J58" s="8">
        <f t="shared" si="1"/>
        <v>33716.13</v>
      </c>
      <c r="K58" s="8">
        <f t="shared" si="2"/>
        <v>194269.13</v>
      </c>
      <c r="L58" s="13" t="s">
        <v>36</v>
      </c>
    </row>
    <row r="59" ht="15.75" customHeight="1">
      <c r="A59" s="12">
        <v>46288.0</v>
      </c>
      <c r="B59" s="13" t="s">
        <v>37</v>
      </c>
      <c r="C59" s="13" t="s">
        <v>659</v>
      </c>
      <c r="D59" s="13" t="s">
        <v>20</v>
      </c>
      <c r="E59" s="4"/>
      <c r="F59" s="13" t="s">
        <v>25</v>
      </c>
      <c r="G59" s="14">
        <v>1.0</v>
      </c>
      <c r="H59" s="15">
        <v>81497.0</v>
      </c>
      <c r="I59" s="16">
        <v>0.21</v>
      </c>
      <c r="J59" s="8">
        <f t="shared" si="1"/>
        <v>17114.37</v>
      </c>
      <c r="K59" s="8">
        <f t="shared" si="2"/>
        <v>98611.37</v>
      </c>
      <c r="L59" s="13" t="s">
        <v>43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6" width="28.0"/>
    <col customWidth="1" min="7" max="7" width="9.88"/>
    <col customWidth="1" min="8" max="8" width="9.0"/>
    <col customWidth="1" min="9" max="9" width="8.5"/>
    <col customWidth="1" min="10" max="10" width="9.38"/>
    <col customWidth="1" min="11" max="11" width="19.0"/>
    <col customWidth="1" min="12" max="26" width="8.63"/>
  </cols>
  <sheetData>
    <row r="1" ht="30.0" customHeight="1">
      <c r="A1" s="17" t="s">
        <v>660</v>
      </c>
    </row>
    <row r="2">
      <c r="A2" s="11" t="s">
        <v>661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31.5" customHeight="1">
      <c r="A4" s="5" t="s">
        <v>5</v>
      </c>
      <c r="B4" s="5" t="s">
        <v>26</v>
      </c>
      <c r="C4" s="5" t="s">
        <v>27</v>
      </c>
      <c r="D4" s="5" t="s">
        <v>6</v>
      </c>
      <c r="E4" s="5" t="s">
        <v>28</v>
      </c>
      <c r="F4" s="5" t="s">
        <v>29</v>
      </c>
      <c r="G4" s="5" t="s">
        <v>12</v>
      </c>
      <c r="H4" s="5" t="s">
        <v>13</v>
      </c>
      <c r="I4" s="5" t="s">
        <v>30</v>
      </c>
      <c r="J4" s="5" t="s">
        <v>16</v>
      </c>
      <c r="K4" s="5" t="s">
        <v>31</v>
      </c>
    </row>
    <row r="5">
      <c r="A5" s="12">
        <v>46266.0</v>
      </c>
      <c r="B5" s="13" t="s">
        <v>664</v>
      </c>
      <c r="C5" s="13" t="s">
        <v>33</v>
      </c>
      <c r="D5" s="13" t="s">
        <v>18</v>
      </c>
      <c r="E5" s="13" t="s">
        <v>34</v>
      </c>
      <c r="F5" s="13" t="s">
        <v>665</v>
      </c>
      <c r="G5" s="15">
        <v>94000.0</v>
      </c>
      <c r="H5" s="16">
        <v>0.105</v>
      </c>
      <c r="I5" s="8">
        <f t="shared" ref="I5:I22" si="1">ROUND(G5*H5,2)</f>
        <v>9870</v>
      </c>
      <c r="J5" s="8">
        <f t="shared" ref="J5:J22" si="2">ROUND(G5+I5,2)</f>
        <v>103870</v>
      </c>
      <c r="K5" s="13" t="s">
        <v>47</v>
      </c>
    </row>
    <row r="6">
      <c r="A6" s="12">
        <v>46267.0</v>
      </c>
      <c r="B6" s="13" t="s">
        <v>676</v>
      </c>
      <c r="C6" s="13" t="s">
        <v>63</v>
      </c>
      <c r="D6" s="13" t="s">
        <v>37</v>
      </c>
      <c r="E6" s="13" t="s">
        <v>65</v>
      </c>
      <c r="F6" s="13" t="s">
        <v>679</v>
      </c>
      <c r="G6" s="15">
        <v>68500.0</v>
      </c>
      <c r="H6" s="16">
        <v>0.21</v>
      </c>
      <c r="I6" s="8">
        <f t="shared" si="1"/>
        <v>14385</v>
      </c>
      <c r="J6" s="8">
        <f t="shared" si="2"/>
        <v>82885</v>
      </c>
      <c r="K6" s="13" t="s">
        <v>49</v>
      </c>
    </row>
    <row r="7">
      <c r="A7" s="12">
        <v>46268.0</v>
      </c>
      <c r="B7" s="13" t="s">
        <v>684</v>
      </c>
      <c r="C7" s="13" t="s">
        <v>91</v>
      </c>
      <c r="D7" s="13" t="s">
        <v>37</v>
      </c>
      <c r="E7" s="13" t="s">
        <v>94</v>
      </c>
      <c r="F7" s="13" t="s">
        <v>685</v>
      </c>
      <c r="G7" s="15">
        <v>18500.0</v>
      </c>
      <c r="H7" s="16">
        <v>0.21</v>
      </c>
      <c r="I7" s="8">
        <f t="shared" si="1"/>
        <v>3885</v>
      </c>
      <c r="J7" s="8">
        <f t="shared" si="2"/>
        <v>22385</v>
      </c>
      <c r="K7" s="13" t="s">
        <v>691</v>
      </c>
    </row>
    <row r="8">
      <c r="A8" s="12">
        <v>46269.0</v>
      </c>
      <c r="B8" s="13" t="s">
        <v>694</v>
      </c>
      <c r="C8" s="13" t="s">
        <v>53</v>
      </c>
      <c r="D8" s="13" t="s">
        <v>18</v>
      </c>
      <c r="E8" s="13" t="s">
        <v>34</v>
      </c>
      <c r="F8" s="13" t="s">
        <v>695</v>
      </c>
      <c r="G8" s="15">
        <v>132000.0</v>
      </c>
      <c r="H8" s="16">
        <v>0.105</v>
      </c>
      <c r="I8" s="8">
        <f t="shared" si="1"/>
        <v>13860</v>
      </c>
      <c r="J8" s="8">
        <f t="shared" si="2"/>
        <v>145860</v>
      </c>
      <c r="K8" s="13" t="s">
        <v>47</v>
      </c>
    </row>
    <row r="9">
      <c r="A9" s="12">
        <v>46270.0</v>
      </c>
      <c r="B9" s="13" t="s">
        <v>696</v>
      </c>
      <c r="C9" s="13" t="s">
        <v>78</v>
      </c>
      <c r="D9" s="13" t="s">
        <v>37</v>
      </c>
      <c r="E9" s="13" t="s">
        <v>79</v>
      </c>
      <c r="F9" s="13" t="s">
        <v>697</v>
      </c>
      <c r="G9" s="15">
        <v>78000.0</v>
      </c>
      <c r="H9" s="16">
        <v>0.21</v>
      </c>
      <c r="I9" s="8">
        <f t="shared" si="1"/>
        <v>16380</v>
      </c>
      <c r="J9" s="8">
        <f t="shared" si="2"/>
        <v>94380</v>
      </c>
      <c r="K9" s="13" t="s">
        <v>691</v>
      </c>
    </row>
    <row r="10">
      <c r="A10" s="12">
        <v>46271.0</v>
      </c>
      <c r="B10" s="13" t="s">
        <v>698</v>
      </c>
      <c r="C10" s="13" t="s">
        <v>104</v>
      </c>
      <c r="D10" s="13" t="s">
        <v>37</v>
      </c>
      <c r="E10" s="13" t="s">
        <v>106</v>
      </c>
      <c r="F10" s="13" t="s">
        <v>699</v>
      </c>
      <c r="G10" s="15">
        <v>42500.0</v>
      </c>
      <c r="H10" s="16">
        <v>0.21</v>
      </c>
      <c r="I10" s="8">
        <f t="shared" si="1"/>
        <v>8925</v>
      </c>
      <c r="J10" s="8">
        <f t="shared" si="2"/>
        <v>51425</v>
      </c>
      <c r="K10" s="13" t="s">
        <v>43</v>
      </c>
    </row>
    <row r="11">
      <c r="A11" s="12">
        <v>46272.0</v>
      </c>
      <c r="B11" s="13" t="s">
        <v>702</v>
      </c>
      <c r="C11" s="13" t="s">
        <v>136</v>
      </c>
      <c r="D11" s="13" t="s">
        <v>18</v>
      </c>
      <c r="E11" s="13" t="s">
        <v>130</v>
      </c>
      <c r="F11" s="13" t="s">
        <v>703</v>
      </c>
      <c r="G11" s="15">
        <v>36700.0</v>
      </c>
      <c r="H11" s="16">
        <v>0.105</v>
      </c>
      <c r="I11" s="8">
        <f t="shared" si="1"/>
        <v>3853.5</v>
      </c>
      <c r="J11" s="8">
        <f t="shared" si="2"/>
        <v>40553.5</v>
      </c>
      <c r="K11" s="13" t="s">
        <v>40</v>
      </c>
    </row>
    <row r="12">
      <c r="A12" s="12">
        <v>46273.0</v>
      </c>
      <c r="B12" s="13" t="s">
        <v>704</v>
      </c>
      <c r="C12" s="13" t="s">
        <v>85</v>
      </c>
      <c r="D12" s="13" t="s">
        <v>37</v>
      </c>
      <c r="E12" s="13" t="s">
        <v>86</v>
      </c>
      <c r="F12" s="13" t="s">
        <v>706</v>
      </c>
      <c r="G12" s="15">
        <v>51500.0</v>
      </c>
      <c r="H12" s="16">
        <v>0.21</v>
      </c>
      <c r="I12" s="8">
        <f t="shared" si="1"/>
        <v>10815</v>
      </c>
      <c r="J12" s="8">
        <f t="shared" si="2"/>
        <v>62315</v>
      </c>
      <c r="K12" s="13" t="s">
        <v>47</v>
      </c>
    </row>
    <row r="13">
      <c r="A13" s="12">
        <v>46274.0</v>
      </c>
      <c r="B13" s="13" t="s">
        <v>664</v>
      </c>
      <c r="C13" s="13" t="s">
        <v>33</v>
      </c>
      <c r="D13" s="13" t="s">
        <v>37</v>
      </c>
      <c r="E13" s="13" t="s">
        <v>34</v>
      </c>
      <c r="F13" s="13" t="s">
        <v>665</v>
      </c>
      <c r="G13" s="15">
        <v>146000.0</v>
      </c>
      <c r="H13" s="16">
        <v>0.105</v>
      </c>
      <c r="I13" s="8">
        <f t="shared" si="1"/>
        <v>15330</v>
      </c>
      <c r="J13" s="8">
        <f t="shared" si="2"/>
        <v>161330</v>
      </c>
      <c r="K13" s="13" t="s">
        <v>47</v>
      </c>
    </row>
    <row r="14">
      <c r="A14" s="12">
        <v>46275.0</v>
      </c>
      <c r="B14" s="13" t="s">
        <v>710</v>
      </c>
      <c r="C14" s="13" t="s">
        <v>128</v>
      </c>
      <c r="D14" s="13" t="s">
        <v>18</v>
      </c>
      <c r="E14" s="13" t="s">
        <v>130</v>
      </c>
      <c r="F14" s="13" t="s">
        <v>711</v>
      </c>
      <c r="G14" s="15">
        <v>29400.0</v>
      </c>
      <c r="H14" s="16">
        <v>0.105</v>
      </c>
      <c r="I14" s="8">
        <f t="shared" si="1"/>
        <v>3087</v>
      </c>
      <c r="J14" s="8">
        <f t="shared" si="2"/>
        <v>32487</v>
      </c>
      <c r="K14" s="13" t="s">
        <v>40</v>
      </c>
    </row>
    <row r="15">
      <c r="A15" s="12">
        <v>46276.0</v>
      </c>
      <c r="B15" s="13" t="s">
        <v>712</v>
      </c>
      <c r="C15" s="13" t="s">
        <v>98</v>
      </c>
      <c r="D15" s="13" t="s">
        <v>37</v>
      </c>
      <c r="E15" s="13" t="s">
        <v>100</v>
      </c>
      <c r="F15" s="13" t="s">
        <v>714</v>
      </c>
      <c r="G15" s="15">
        <v>31800.0</v>
      </c>
      <c r="H15" s="16">
        <v>0.21</v>
      </c>
      <c r="I15" s="8">
        <f t="shared" si="1"/>
        <v>6678</v>
      </c>
      <c r="J15" s="8">
        <f t="shared" si="2"/>
        <v>38478</v>
      </c>
      <c r="K15" s="13" t="s">
        <v>36</v>
      </c>
    </row>
    <row r="16">
      <c r="A16" s="12">
        <v>46277.0</v>
      </c>
      <c r="B16" s="13" t="s">
        <v>716</v>
      </c>
      <c r="C16" s="13" t="s">
        <v>112</v>
      </c>
      <c r="D16" s="13" t="s">
        <v>37</v>
      </c>
      <c r="E16" s="13" t="s">
        <v>113</v>
      </c>
      <c r="F16" s="13" t="s">
        <v>717</v>
      </c>
      <c r="G16" s="15">
        <v>390000.0</v>
      </c>
      <c r="H16" s="16">
        <v>0.21</v>
      </c>
      <c r="I16" s="8">
        <f t="shared" si="1"/>
        <v>81900</v>
      </c>
      <c r="J16" s="8">
        <f t="shared" si="2"/>
        <v>471900</v>
      </c>
      <c r="K16" s="13" t="s">
        <v>47</v>
      </c>
    </row>
    <row r="17">
      <c r="A17" s="12">
        <v>46278.0</v>
      </c>
      <c r="B17" s="13" t="s">
        <v>694</v>
      </c>
      <c r="C17" s="13" t="s">
        <v>53</v>
      </c>
      <c r="D17" s="13" t="s">
        <v>18</v>
      </c>
      <c r="E17" s="13" t="s">
        <v>34</v>
      </c>
      <c r="F17" s="13" t="s">
        <v>722</v>
      </c>
      <c r="G17" s="15">
        <v>128000.0</v>
      </c>
      <c r="H17" s="16">
        <v>0.105</v>
      </c>
      <c r="I17" s="8">
        <f t="shared" si="1"/>
        <v>13440</v>
      </c>
      <c r="J17" s="8">
        <f t="shared" si="2"/>
        <v>141440</v>
      </c>
      <c r="K17" s="13" t="s">
        <v>47</v>
      </c>
    </row>
    <row r="18">
      <c r="A18" s="12">
        <v>46279.0</v>
      </c>
      <c r="B18" s="13" t="s">
        <v>724</v>
      </c>
      <c r="C18" s="13" t="s">
        <v>119</v>
      </c>
      <c r="D18" s="13" t="s">
        <v>37</v>
      </c>
      <c r="E18" s="13" t="s">
        <v>123</v>
      </c>
      <c r="F18" s="13" t="s">
        <v>726</v>
      </c>
      <c r="G18" s="15">
        <v>48500.0</v>
      </c>
      <c r="H18" s="16">
        <v>0.21</v>
      </c>
      <c r="I18" s="8">
        <f t="shared" si="1"/>
        <v>10185</v>
      </c>
      <c r="J18" s="8">
        <f t="shared" si="2"/>
        <v>58685</v>
      </c>
      <c r="K18" s="13" t="s">
        <v>49</v>
      </c>
    </row>
    <row r="19">
      <c r="A19" s="12">
        <v>46280.0</v>
      </c>
      <c r="B19" s="13" t="s">
        <v>676</v>
      </c>
      <c r="C19" s="13" t="s">
        <v>63</v>
      </c>
      <c r="D19" s="13" t="s">
        <v>37</v>
      </c>
      <c r="E19" s="13" t="s">
        <v>65</v>
      </c>
      <c r="F19" s="13" t="s">
        <v>679</v>
      </c>
      <c r="G19" s="15">
        <v>73600.0</v>
      </c>
      <c r="H19" s="16">
        <v>0.21</v>
      </c>
      <c r="I19" s="8">
        <f t="shared" si="1"/>
        <v>15456</v>
      </c>
      <c r="J19" s="8">
        <f t="shared" si="2"/>
        <v>89056</v>
      </c>
      <c r="K19" s="13" t="s">
        <v>47</v>
      </c>
    </row>
    <row r="20">
      <c r="A20" s="12">
        <v>46281.0</v>
      </c>
      <c r="B20" s="13" t="s">
        <v>728</v>
      </c>
      <c r="C20" s="13" t="s">
        <v>142</v>
      </c>
      <c r="D20" s="13" t="s">
        <v>18</v>
      </c>
      <c r="E20" s="13" t="s">
        <v>143</v>
      </c>
      <c r="F20" s="13" t="s">
        <v>730</v>
      </c>
      <c r="G20" s="15">
        <v>44500.0</v>
      </c>
      <c r="H20" s="16">
        <v>0.21</v>
      </c>
      <c r="I20" s="8">
        <f t="shared" si="1"/>
        <v>9345</v>
      </c>
      <c r="J20" s="8">
        <f t="shared" si="2"/>
        <v>53845</v>
      </c>
      <c r="K20" s="13" t="s">
        <v>691</v>
      </c>
    </row>
    <row r="21" ht="15.75" customHeight="1">
      <c r="A21" s="12">
        <v>46282.0</v>
      </c>
      <c r="B21" s="13" t="s">
        <v>664</v>
      </c>
      <c r="C21" s="13" t="s">
        <v>33</v>
      </c>
      <c r="D21" s="13" t="s">
        <v>37</v>
      </c>
      <c r="E21" s="13" t="s">
        <v>34</v>
      </c>
      <c r="F21" s="13" t="s">
        <v>665</v>
      </c>
      <c r="G21" s="15">
        <v>159000.0</v>
      </c>
      <c r="H21" s="16">
        <v>0.105</v>
      </c>
      <c r="I21" s="8">
        <f t="shared" si="1"/>
        <v>16695</v>
      </c>
      <c r="J21" s="8">
        <f t="shared" si="2"/>
        <v>175695</v>
      </c>
      <c r="K21" s="13" t="s">
        <v>47</v>
      </c>
    </row>
    <row r="22" ht="15.75" customHeight="1">
      <c r="A22" s="12">
        <v>46283.0</v>
      </c>
      <c r="B22" s="13" t="s">
        <v>737</v>
      </c>
      <c r="C22" s="13" t="s">
        <v>738</v>
      </c>
      <c r="D22" s="13" t="s">
        <v>37</v>
      </c>
      <c r="E22" s="13" t="s">
        <v>143</v>
      </c>
      <c r="F22" s="13" t="s">
        <v>739</v>
      </c>
      <c r="G22" s="15">
        <v>23200.0</v>
      </c>
      <c r="H22" s="16">
        <v>0.21</v>
      </c>
      <c r="I22" s="8">
        <f t="shared" si="1"/>
        <v>4872</v>
      </c>
      <c r="J22" s="8">
        <f t="shared" si="2"/>
        <v>28072</v>
      </c>
      <c r="K22" s="13" t="s">
        <v>47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0.13"/>
    <col customWidth="1" min="2" max="2" width="17.0"/>
    <col customWidth="1" min="3" max="3" width="23.25"/>
    <col customWidth="1" min="4" max="4" width="23.88"/>
    <col customWidth="1" min="5" max="6" width="15.75"/>
    <col customWidth="1" min="7" max="7" width="16.38"/>
    <col customWidth="1" min="8" max="8" width="14.63"/>
    <col customWidth="1" min="10" max="10" width="27.0"/>
    <col customWidth="1" min="11" max="11" width="17.0"/>
  </cols>
  <sheetData>
    <row r="1" ht="24.0" customHeight="1">
      <c r="A1" s="18" t="s">
        <v>662</v>
      </c>
    </row>
    <row r="2" ht="30.0" customHeight="1">
      <c r="A2" s="19" t="s">
        <v>663</v>
      </c>
    </row>
    <row r="4" ht="31.5" customHeight="1">
      <c r="A4" s="20" t="s">
        <v>5</v>
      </c>
      <c r="B4" s="20" t="s">
        <v>666</v>
      </c>
      <c r="C4" s="20" t="s">
        <v>667</v>
      </c>
      <c r="D4" s="20" t="s">
        <v>668</v>
      </c>
      <c r="E4" s="20" t="s">
        <v>669</v>
      </c>
      <c r="F4" s="20" t="s">
        <v>670</v>
      </c>
      <c r="G4" s="20" t="s">
        <v>671</v>
      </c>
      <c r="H4" s="20" t="s">
        <v>672</v>
      </c>
      <c r="J4" s="21" t="s">
        <v>673</v>
      </c>
      <c r="K4" s="22"/>
    </row>
    <row r="5" ht="25.5" customHeight="1">
      <c r="A5" s="23" t="s">
        <v>674</v>
      </c>
      <c r="B5" s="24" t="s">
        <v>675</v>
      </c>
      <c r="C5" s="24" t="s">
        <v>677</v>
      </c>
      <c r="D5" s="24" t="s">
        <v>678</v>
      </c>
      <c r="E5" s="25">
        <v>200000.0</v>
      </c>
      <c r="F5" s="24" t="s">
        <v>680</v>
      </c>
      <c r="G5" s="24" t="s">
        <v>681</v>
      </c>
      <c r="H5" s="24" t="s">
        <v>682</v>
      </c>
      <c r="J5" s="26" t="s">
        <v>683</v>
      </c>
      <c r="K5" s="27"/>
    </row>
    <row r="6" ht="25.5" customHeight="1">
      <c r="A6" s="23" t="s">
        <v>674</v>
      </c>
      <c r="B6" s="24" t="s">
        <v>686</v>
      </c>
      <c r="C6" s="24" t="s">
        <v>687</v>
      </c>
      <c r="D6" s="24" t="s">
        <v>688</v>
      </c>
      <c r="E6" s="25">
        <v>250000.0</v>
      </c>
      <c r="F6" s="24" t="s">
        <v>689</v>
      </c>
      <c r="G6" s="24" t="s">
        <v>690</v>
      </c>
      <c r="H6" s="24" t="s">
        <v>692</v>
      </c>
      <c r="J6" s="28" t="s">
        <v>693</v>
      </c>
      <c r="K6" s="29">
        <f>SUMIF(B5:B26,"Saldo inicial",E5:E26)</f>
        <v>200000</v>
      </c>
    </row>
    <row r="7" ht="25.5" customHeight="1">
      <c r="A7" s="23" t="s">
        <v>674</v>
      </c>
      <c r="B7" s="24" t="s">
        <v>686</v>
      </c>
      <c r="C7" s="24" t="s">
        <v>700</v>
      </c>
      <c r="D7" s="24" t="s">
        <v>688</v>
      </c>
      <c r="E7" s="25">
        <v>315000.0</v>
      </c>
      <c r="F7" s="24" t="s">
        <v>689</v>
      </c>
      <c r="G7" s="24" t="s">
        <v>690</v>
      </c>
      <c r="H7" s="24" t="s">
        <v>692</v>
      </c>
      <c r="J7" s="28" t="s">
        <v>701</v>
      </c>
      <c r="K7" s="29">
        <f>SUMIF(B5:B26,"Ingreso efectivo",E5:E26)</f>
        <v>4100000</v>
      </c>
    </row>
    <row r="8" ht="25.5" customHeight="1">
      <c r="A8" s="23" t="s">
        <v>674</v>
      </c>
      <c r="B8" s="24" t="s">
        <v>686</v>
      </c>
      <c r="C8" s="24" t="s">
        <v>705</v>
      </c>
      <c r="D8" s="24" t="s">
        <v>688</v>
      </c>
      <c r="E8" s="25">
        <v>198000.0</v>
      </c>
      <c r="F8" s="24" t="s">
        <v>689</v>
      </c>
      <c r="G8" s="24" t="s">
        <v>690</v>
      </c>
      <c r="H8" s="24" t="s">
        <v>692</v>
      </c>
      <c r="J8" s="28" t="s">
        <v>707</v>
      </c>
      <c r="K8" s="30">
        <f>SUMIFS(E5:E26,B5:B26,"Egreso efectivo",H5:H26,"Factura y pago ficticios")</f>
        <v>2300000</v>
      </c>
    </row>
    <row r="9" ht="25.5" customHeight="1">
      <c r="A9" s="23" t="s">
        <v>674</v>
      </c>
      <c r="B9" s="24" t="s">
        <v>686</v>
      </c>
      <c r="C9" s="24" t="s">
        <v>708</v>
      </c>
      <c r="D9" s="24" t="s">
        <v>688</v>
      </c>
      <c r="E9" s="25">
        <v>287000.0</v>
      </c>
      <c r="F9" s="24" t="s">
        <v>689</v>
      </c>
      <c r="G9" s="24" t="s">
        <v>690</v>
      </c>
      <c r="H9" s="24" t="s">
        <v>692</v>
      </c>
      <c r="J9" s="28" t="s">
        <v>709</v>
      </c>
      <c r="K9" s="29">
        <f>SUMIFS(E5:E26,B5:B26,"Egreso efectivo",H5:H26,"Pendiente de factura proveedor")</f>
        <v>35000</v>
      </c>
    </row>
    <row r="10" ht="25.5" customHeight="1">
      <c r="A10" s="23" t="s">
        <v>674</v>
      </c>
      <c r="B10" s="24" t="s">
        <v>686</v>
      </c>
      <c r="C10" s="24" t="s">
        <v>713</v>
      </c>
      <c r="D10" s="24" t="s">
        <v>688</v>
      </c>
      <c r="E10" s="25">
        <v>340000.0</v>
      </c>
      <c r="F10" s="24" t="s">
        <v>689</v>
      </c>
      <c r="G10" s="24" t="s">
        <v>690</v>
      </c>
      <c r="H10" s="24" t="s">
        <v>692</v>
      </c>
      <c r="J10" s="28" t="s">
        <v>715</v>
      </c>
      <c r="K10" s="30">
        <f>K6+K7-K8-K9</f>
        <v>1965000</v>
      </c>
    </row>
    <row r="11" ht="25.5" customHeight="1">
      <c r="A11" s="23" t="s">
        <v>674</v>
      </c>
      <c r="B11" s="24" t="s">
        <v>686</v>
      </c>
      <c r="C11" s="24" t="s">
        <v>718</v>
      </c>
      <c r="D11" s="24" t="s">
        <v>688</v>
      </c>
      <c r="E11" s="25">
        <v>175000.0</v>
      </c>
      <c r="F11" s="24" t="s">
        <v>689</v>
      </c>
      <c r="G11" s="24" t="s">
        <v>690</v>
      </c>
      <c r="H11" s="24" t="s">
        <v>692</v>
      </c>
      <c r="J11" s="28" t="s">
        <v>719</v>
      </c>
      <c r="K11" s="29">
        <v>1965000.0</v>
      </c>
    </row>
    <row r="12" ht="25.5" customHeight="1">
      <c r="A12" s="23" t="s">
        <v>674</v>
      </c>
      <c r="B12" s="24" t="s">
        <v>686</v>
      </c>
      <c r="C12" s="24" t="s">
        <v>720</v>
      </c>
      <c r="D12" s="24" t="s">
        <v>688</v>
      </c>
      <c r="E12" s="25">
        <v>422000.0</v>
      </c>
      <c r="F12" s="24" t="s">
        <v>689</v>
      </c>
      <c r="G12" s="24" t="s">
        <v>690</v>
      </c>
      <c r="H12" s="24" t="s">
        <v>692</v>
      </c>
      <c r="J12" s="28" t="s">
        <v>721</v>
      </c>
      <c r="K12" s="30">
        <f>K11-K10</f>
        <v>0</v>
      </c>
    </row>
    <row r="13" ht="25.5" customHeight="1">
      <c r="A13" s="23" t="s">
        <v>674</v>
      </c>
      <c r="B13" s="24" t="s">
        <v>686</v>
      </c>
      <c r="C13" s="24" t="s">
        <v>723</v>
      </c>
      <c r="D13" s="24" t="s">
        <v>688</v>
      </c>
      <c r="E13" s="25">
        <v>206000.0</v>
      </c>
      <c r="F13" s="24" t="s">
        <v>689</v>
      </c>
      <c r="G13" s="24" t="s">
        <v>690</v>
      </c>
      <c r="H13" s="24" t="s">
        <v>692</v>
      </c>
      <c r="J13" s="31" t="s">
        <v>725</v>
      </c>
      <c r="K13" s="32" t="str">
        <f>IF(K12=0,"Caja conciliada","Revisar diferencia")</f>
        <v>Caja conciliada</v>
      </c>
    </row>
    <row r="14" ht="25.5" customHeight="1">
      <c r="A14" s="23" t="s">
        <v>674</v>
      </c>
      <c r="B14" s="24" t="s">
        <v>686</v>
      </c>
      <c r="C14" s="24" t="s">
        <v>727</v>
      </c>
      <c r="D14" s="24" t="s">
        <v>688</v>
      </c>
      <c r="E14" s="25">
        <v>260000.0</v>
      </c>
      <c r="F14" s="24" t="s">
        <v>689</v>
      </c>
      <c r="G14" s="24" t="s">
        <v>690</v>
      </c>
      <c r="H14" s="24" t="s">
        <v>692</v>
      </c>
      <c r="J14" s="26" t="s">
        <v>729</v>
      </c>
      <c r="K14" s="27"/>
    </row>
    <row r="15" ht="25.5" customHeight="1">
      <c r="A15" s="23" t="s">
        <v>674</v>
      </c>
      <c r="B15" s="24" t="s">
        <v>686</v>
      </c>
      <c r="C15" s="24" t="s">
        <v>731</v>
      </c>
      <c r="D15" s="24" t="s">
        <v>688</v>
      </c>
      <c r="E15" s="25">
        <v>319000.0</v>
      </c>
      <c r="F15" s="24" t="s">
        <v>689</v>
      </c>
      <c r="G15" s="24" t="s">
        <v>690</v>
      </c>
      <c r="H15" s="24" t="s">
        <v>692</v>
      </c>
      <c r="J15" s="28" t="s">
        <v>732</v>
      </c>
      <c r="K15" s="29">
        <f>SUMIF(B27:B41,"Venta tarjeta crédito",E27:E41)</f>
        <v>3390178</v>
      </c>
    </row>
    <row r="16" ht="25.5" customHeight="1">
      <c r="A16" s="23" t="s">
        <v>674</v>
      </c>
      <c r="B16" s="24" t="s">
        <v>686</v>
      </c>
      <c r="C16" s="24" t="s">
        <v>733</v>
      </c>
      <c r="D16" s="24" t="s">
        <v>688</v>
      </c>
      <c r="E16" s="25">
        <v>189000.0</v>
      </c>
      <c r="F16" s="24" t="s">
        <v>689</v>
      </c>
      <c r="G16" s="24" t="s">
        <v>690</v>
      </c>
      <c r="H16" s="24" t="s">
        <v>692</v>
      </c>
      <c r="J16" s="28" t="s">
        <v>734</v>
      </c>
      <c r="K16" s="29">
        <v>0.0</v>
      </c>
    </row>
    <row r="17" ht="25.5" customHeight="1">
      <c r="A17" s="23" t="s">
        <v>674</v>
      </c>
      <c r="B17" s="24" t="s">
        <v>686</v>
      </c>
      <c r="C17" s="24" t="s">
        <v>735</v>
      </c>
      <c r="D17" s="24" t="s">
        <v>688</v>
      </c>
      <c r="E17" s="25">
        <v>375000.0</v>
      </c>
      <c r="F17" s="24" t="s">
        <v>689</v>
      </c>
      <c r="G17" s="24" t="s">
        <v>690</v>
      </c>
      <c r="H17" s="24" t="s">
        <v>692</v>
      </c>
      <c r="J17" s="28" t="s">
        <v>736</v>
      </c>
      <c r="K17" s="30">
        <f>SUMIF(B42:B48,"Venta transferencia",E42:E48)</f>
        <v>2020000</v>
      </c>
    </row>
    <row r="18" ht="25.5" customHeight="1">
      <c r="A18" s="23" t="s">
        <v>674</v>
      </c>
      <c r="B18" s="24" t="s">
        <v>686</v>
      </c>
      <c r="C18" s="24" t="s">
        <v>740</v>
      </c>
      <c r="D18" s="24" t="s">
        <v>688</v>
      </c>
      <c r="E18" s="25">
        <v>231000.0</v>
      </c>
      <c r="F18" s="24" t="s">
        <v>689</v>
      </c>
      <c r="G18" s="24" t="s">
        <v>690</v>
      </c>
      <c r="H18" s="24" t="s">
        <v>692</v>
      </c>
      <c r="J18" s="28" t="s">
        <v>741</v>
      </c>
      <c r="K18" s="29">
        <f>SUMIF(H42:H48,"Acreditada en extracto",E42:E48)</f>
        <v>1775000</v>
      </c>
    </row>
    <row r="19" ht="25.5" customHeight="1">
      <c r="A19" s="23" t="s">
        <v>674</v>
      </c>
      <c r="B19" s="24" t="s">
        <v>686</v>
      </c>
      <c r="C19" s="24" t="s">
        <v>742</v>
      </c>
      <c r="D19" s="24" t="s">
        <v>688</v>
      </c>
      <c r="E19" s="25">
        <v>298000.0</v>
      </c>
      <c r="F19" s="24" t="s">
        <v>689</v>
      </c>
      <c r="G19" s="24" t="s">
        <v>690</v>
      </c>
      <c r="H19" s="24" t="s">
        <v>692</v>
      </c>
      <c r="J19" s="28" t="s">
        <v>743</v>
      </c>
      <c r="K19" s="29">
        <f>SUMIF(H42:H48,"Pendiente de acreditación",E42:E48)</f>
        <v>245000</v>
      </c>
    </row>
    <row r="20" ht="25.5" customHeight="1">
      <c r="A20" s="23" t="s">
        <v>674</v>
      </c>
      <c r="B20" s="24" t="s">
        <v>686</v>
      </c>
      <c r="C20" s="24" t="s">
        <v>744</v>
      </c>
      <c r="D20" s="24" t="s">
        <v>688</v>
      </c>
      <c r="E20" s="25">
        <v>235000.0</v>
      </c>
      <c r="F20" s="24" t="s">
        <v>689</v>
      </c>
      <c r="G20" s="24" t="s">
        <v>690</v>
      </c>
      <c r="H20" s="24" t="s">
        <v>692</v>
      </c>
      <c r="J20" s="28" t="s">
        <v>745</v>
      </c>
      <c r="K20" s="29">
        <f>SUMIF(B49:B52,"Venta Mercado Pago",E49:E52)</f>
        <v>479500</v>
      </c>
    </row>
    <row r="21" ht="25.5" customHeight="1">
      <c r="A21" s="23" t="s">
        <v>674</v>
      </c>
      <c r="B21" s="24" t="s">
        <v>746</v>
      </c>
      <c r="C21" s="24" t="s">
        <v>747</v>
      </c>
      <c r="D21" s="24" t="s">
        <v>748</v>
      </c>
      <c r="E21" s="25">
        <v>1150000.0</v>
      </c>
      <c r="F21" s="24" t="s">
        <v>749</v>
      </c>
      <c r="G21" s="24" t="s">
        <v>750</v>
      </c>
      <c r="H21" s="24" t="s">
        <v>751</v>
      </c>
      <c r="J21" s="28" t="s">
        <v>752</v>
      </c>
      <c r="K21" s="29">
        <v>520000.0</v>
      </c>
    </row>
    <row r="22" ht="25.5" customHeight="1">
      <c r="A22" s="23" t="s">
        <v>674</v>
      </c>
      <c r="B22" s="24" t="s">
        <v>746</v>
      </c>
      <c r="C22" s="24" t="s">
        <v>753</v>
      </c>
      <c r="D22" s="24" t="s">
        <v>754</v>
      </c>
      <c r="E22" s="25">
        <v>420000.0</v>
      </c>
      <c r="F22" s="24" t="s">
        <v>749</v>
      </c>
      <c r="G22" s="24" t="s">
        <v>750</v>
      </c>
      <c r="H22" s="24" t="s">
        <v>751</v>
      </c>
      <c r="J22" s="28" t="s">
        <v>755</v>
      </c>
      <c r="K22" s="33" t="s">
        <v>756</v>
      </c>
    </row>
    <row r="23" ht="25.5" customHeight="1">
      <c r="A23" s="23" t="s">
        <v>674</v>
      </c>
      <c r="B23" s="24" t="s">
        <v>746</v>
      </c>
      <c r="C23" s="24" t="s">
        <v>757</v>
      </c>
      <c r="D23" s="24" t="s">
        <v>758</v>
      </c>
      <c r="E23" s="25">
        <v>320000.0</v>
      </c>
      <c r="F23" s="24" t="s">
        <v>749</v>
      </c>
      <c r="G23" s="24" t="s">
        <v>750</v>
      </c>
      <c r="H23" s="24" t="s">
        <v>751</v>
      </c>
      <c r="J23" s="28"/>
      <c r="K23" s="34"/>
    </row>
    <row r="24" ht="25.5" customHeight="1">
      <c r="A24" s="23" t="s">
        <v>674</v>
      </c>
      <c r="B24" s="24" t="s">
        <v>746</v>
      </c>
      <c r="C24" s="24" t="s">
        <v>759</v>
      </c>
      <c r="D24" s="24" t="s">
        <v>760</v>
      </c>
      <c r="E24" s="25">
        <v>210000.0</v>
      </c>
      <c r="F24" s="24" t="s">
        <v>749</v>
      </c>
      <c r="G24" s="24" t="s">
        <v>750</v>
      </c>
      <c r="H24" s="24" t="s">
        <v>751</v>
      </c>
      <c r="J24" s="35"/>
      <c r="K24" s="36"/>
    </row>
    <row r="25" ht="33.0" customHeight="1">
      <c r="A25" s="23" t="s">
        <v>674</v>
      </c>
      <c r="B25" s="24" t="s">
        <v>746</v>
      </c>
      <c r="C25" s="24" t="s">
        <v>761</v>
      </c>
      <c r="D25" s="24" t="s">
        <v>762</v>
      </c>
      <c r="E25" s="25">
        <v>200000.0</v>
      </c>
      <c r="F25" s="24" t="s">
        <v>749</v>
      </c>
      <c r="G25" s="24" t="s">
        <v>750</v>
      </c>
      <c r="H25" s="24" t="s">
        <v>751</v>
      </c>
      <c r="J25" s="37"/>
      <c r="K25" s="38"/>
    </row>
    <row r="26" ht="25.5" customHeight="1">
      <c r="A26" s="23" t="s">
        <v>674</v>
      </c>
      <c r="B26" s="24" t="s">
        <v>746</v>
      </c>
      <c r="C26" s="24" t="s">
        <v>763</v>
      </c>
      <c r="D26" s="24" t="s">
        <v>764</v>
      </c>
      <c r="E26" s="25">
        <v>35000.0</v>
      </c>
      <c r="F26" s="24" t="s">
        <v>765</v>
      </c>
      <c r="G26" s="24" t="s">
        <v>766</v>
      </c>
      <c r="H26" s="24" t="s">
        <v>767</v>
      </c>
      <c r="J26" s="39"/>
      <c r="K26" s="38"/>
    </row>
    <row r="27">
      <c r="A27" s="23" t="s">
        <v>674</v>
      </c>
      <c r="B27" s="24" t="s">
        <v>768</v>
      </c>
      <c r="C27" s="24" t="s">
        <v>769</v>
      </c>
      <c r="D27" s="24" t="s">
        <v>770</v>
      </c>
      <c r="E27" s="25">
        <v>128865.0</v>
      </c>
      <c r="F27" s="24" t="s">
        <v>771</v>
      </c>
      <c r="G27" s="24" t="s">
        <v>772</v>
      </c>
      <c r="H27" s="24" t="s">
        <v>773</v>
      </c>
      <c r="J27" s="40" t="s">
        <v>774</v>
      </c>
      <c r="K27" s="41"/>
    </row>
    <row r="28">
      <c r="A28" s="23" t="s">
        <v>674</v>
      </c>
      <c r="B28" s="24" t="s">
        <v>768</v>
      </c>
      <c r="C28" s="24" t="s">
        <v>775</v>
      </c>
      <c r="D28" s="24" t="s">
        <v>776</v>
      </c>
      <c r="E28" s="25">
        <v>211145.0</v>
      </c>
      <c r="F28" s="24" t="s">
        <v>771</v>
      </c>
      <c r="G28" s="24" t="s">
        <v>772</v>
      </c>
      <c r="H28" s="24" t="s">
        <v>773</v>
      </c>
      <c r="J28" s="42" t="s">
        <v>777</v>
      </c>
      <c r="K28" s="41"/>
    </row>
    <row r="29">
      <c r="A29" s="23" t="s">
        <v>674</v>
      </c>
      <c r="B29" s="24" t="s">
        <v>768</v>
      </c>
      <c r="C29" s="24" t="s">
        <v>778</v>
      </c>
      <c r="D29" s="24" t="s">
        <v>779</v>
      </c>
      <c r="E29" s="25">
        <v>142780.0</v>
      </c>
      <c r="F29" s="24" t="s">
        <v>771</v>
      </c>
      <c r="G29" s="24" t="s">
        <v>772</v>
      </c>
      <c r="H29" s="24" t="s">
        <v>773</v>
      </c>
      <c r="J29" s="43" t="s">
        <v>780</v>
      </c>
      <c r="K29" s="44">
        <f>K7</f>
        <v>4100000</v>
      </c>
    </row>
    <row r="30">
      <c r="A30" s="23" t="s">
        <v>674</v>
      </c>
      <c r="B30" s="24" t="s">
        <v>768</v>
      </c>
      <c r="C30" s="24" t="s">
        <v>781</v>
      </c>
      <c r="D30" s="24" t="s">
        <v>782</v>
      </c>
      <c r="E30" s="25">
        <v>360096.0</v>
      </c>
      <c r="F30" s="24" t="s">
        <v>771</v>
      </c>
      <c r="G30" s="24" t="s">
        <v>772</v>
      </c>
      <c r="H30" s="24" t="s">
        <v>773</v>
      </c>
      <c r="J30" s="43" t="s">
        <v>783</v>
      </c>
      <c r="K30" s="44">
        <f>K18</f>
        <v>1775000</v>
      </c>
    </row>
    <row r="31">
      <c r="A31" s="23" t="s">
        <v>674</v>
      </c>
      <c r="B31" s="24" t="s">
        <v>768</v>
      </c>
      <c r="C31" s="24" t="s">
        <v>784</v>
      </c>
      <c r="D31" s="24" t="s">
        <v>785</v>
      </c>
      <c r="E31" s="25">
        <v>121605.0</v>
      </c>
      <c r="F31" s="24" t="s">
        <v>771</v>
      </c>
      <c r="G31" s="24" t="s">
        <v>772</v>
      </c>
      <c r="H31" s="24" t="s">
        <v>773</v>
      </c>
      <c r="J31" s="43" t="s">
        <v>786</v>
      </c>
      <c r="K31" s="44">
        <f>K20</f>
        <v>479500</v>
      </c>
    </row>
    <row r="32">
      <c r="A32" s="23" t="s">
        <v>674</v>
      </c>
      <c r="B32" s="24" t="s">
        <v>768</v>
      </c>
      <c r="C32" s="24" t="s">
        <v>787</v>
      </c>
      <c r="D32" s="24" t="s">
        <v>788</v>
      </c>
      <c r="E32" s="25">
        <v>195415.0</v>
      </c>
      <c r="F32" s="24" t="s">
        <v>771</v>
      </c>
      <c r="G32" s="24" t="s">
        <v>772</v>
      </c>
      <c r="H32" s="24" t="s">
        <v>773</v>
      </c>
      <c r="J32" s="43" t="s">
        <v>789</v>
      </c>
      <c r="K32" s="45">
        <f>SUM(K29:K31)</f>
        <v>6354500</v>
      </c>
    </row>
    <row r="33">
      <c r="A33" s="23" t="s">
        <v>674</v>
      </c>
      <c r="B33" s="24" t="s">
        <v>768</v>
      </c>
      <c r="C33" s="24" t="s">
        <v>790</v>
      </c>
      <c r="D33" s="24" t="s">
        <v>791</v>
      </c>
      <c r="E33" s="25">
        <v>266926.0</v>
      </c>
      <c r="F33" s="24" t="s">
        <v>771</v>
      </c>
      <c r="G33" s="24" t="s">
        <v>772</v>
      </c>
      <c r="H33" s="24" t="s">
        <v>773</v>
      </c>
      <c r="J33" s="42" t="s">
        <v>792</v>
      </c>
      <c r="K33" s="41"/>
    </row>
    <row r="34">
      <c r="A34" s="23" t="s">
        <v>674</v>
      </c>
      <c r="B34" s="24" t="s">
        <v>768</v>
      </c>
      <c r="C34" s="24" t="s">
        <v>793</v>
      </c>
      <c r="D34" s="24" t="s">
        <v>794</v>
      </c>
      <c r="E34" s="25">
        <v>343640.0</v>
      </c>
      <c r="F34" s="24" t="s">
        <v>771</v>
      </c>
      <c r="G34" s="24" t="s">
        <v>772</v>
      </c>
      <c r="H34" s="24" t="s">
        <v>773</v>
      </c>
      <c r="J34" s="43" t="s">
        <v>795</v>
      </c>
      <c r="K34" s="44">
        <f>K8+K9</f>
        <v>2335000</v>
      </c>
    </row>
    <row r="35">
      <c r="A35" s="23" t="s">
        <v>674</v>
      </c>
      <c r="B35" s="24" t="s">
        <v>768</v>
      </c>
      <c r="C35" s="24" t="s">
        <v>796</v>
      </c>
      <c r="D35" s="24" t="s">
        <v>797</v>
      </c>
      <c r="E35" s="25">
        <v>176055.0</v>
      </c>
      <c r="F35" s="24" t="s">
        <v>771</v>
      </c>
      <c r="G35" s="24" t="s">
        <v>772</v>
      </c>
      <c r="H35" s="24" t="s">
        <v>773</v>
      </c>
      <c r="J35" s="43" t="s">
        <v>798</v>
      </c>
      <c r="K35" s="44">
        <f>K21</f>
        <v>520000</v>
      </c>
    </row>
    <row r="36">
      <c r="A36" s="23" t="s">
        <v>674</v>
      </c>
      <c r="B36" s="24" t="s">
        <v>768</v>
      </c>
      <c r="C36" s="24" t="s">
        <v>799</v>
      </c>
      <c r="D36" s="24" t="s">
        <v>800</v>
      </c>
      <c r="E36" s="25">
        <v>167585.0</v>
      </c>
      <c r="F36" s="24" t="s">
        <v>771</v>
      </c>
      <c r="G36" s="24" t="s">
        <v>772</v>
      </c>
      <c r="H36" s="24" t="s">
        <v>773</v>
      </c>
      <c r="J36" s="43" t="s">
        <v>801</v>
      </c>
      <c r="K36" s="45">
        <v>42500.0</v>
      </c>
    </row>
    <row r="37">
      <c r="A37" s="23" t="s">
        <v>674</v>
      </c>
      <c r="B37" s="24" t="s">
        <v>768</v>
      </c>
      <c r="C37" s="24" t="s">
        <v>802</v>
      </c>
      <c r="D37" s="24" t="s">
        <v>803</v>
      </c>
      <c r="E37" s="25">
        <v>253495.0</v>
      </c>
      <c r="F37" s="24" t="s">
        <v>771</v>
      </c>
      <c r="G37" s="24" t="s">
        <v>772</v>
      </c>
      <c r="H37" s="24" t="s">
        <v>773</v>
      </c>
      <c r="J37" s="43" t="s">
        <v>804</v>
      </c>
      <c r="K37" s="45">
        <f>SUM(K34:K36)</f>
        <v>2897500</v>
      </c>
    </row>
    <row r="38">
      <c r="A38" s="23" t="s">
        <v>674</v>
      </c>
      <c r="B38" s="24" t="s">
        <v>768</v>
      </c>
      <c r="C38" s="24" t="s">
        <v>805</v>
      </c>
      <c r="D38" s="24" t="s">
        <v>806</v>
      </c>
      <c r="E38" s="25">
        <v>261360.0</v>
      </c>
      <c r="F38" s="24" t="s">
        <v>771</v>
      </c>
      <c r="G38" s="24" t="s">
        <v>772</v>
      </c>
      <c r="H38" s="24" t="s">
        <v>773</v>
      </c>
      <c r="J38" s="46" t="s">
        <v>807</v>
      </c>
      <c r="K38" s="47">
        <f>K32-K37</f>
        <v>3457000</v>
      </c>
    </row>
    <row r="39">
      <c r="A39" s="23" t="s">
        <v>674</v>
      </c>
      <c r="B39" s="24" t="s">
        <v>768</v>
      </c>
      <c r="C39" s="24" t="s">
        <v>808</v>
      </c>
      <c r="D39" s="24" t="s">
        <v>809</v>
      </c>
      <c r="E39" s="25">
        <v>343035.0</v>
      </c>
      <c r="F39" s="24" t="s">
        <v>771</v>
      </c>
      <c r="G39" s="24" t="s">
        <v>772</v>
      </c>
      <c r="H39" s="24" t="s">
        <v>773</v>
      </c>
      <c r="J39" s="43" t="s">
        <v>810</v>
      </c>
      <c r="K39" s="44">
        <f>K11</f>
        <v>1965000</v>
      </c>
    </row>
    <row r="40">
      <c r="A40" s="23" t="s">
        <v>674</v>
      </c>
      <c r="B40" s="24" t="s">
        <v>768</v>
      </c>
      <c r="C40" s="24" t="s">
        <v>811</v>
      </c>
      <c r="D40" s="24" t="s">
        <v>812</v>
      </c>
      <c r="E40" s="25">
        <v>272976.0</v>
      </c>
      <c r="F40" s="24" t="s">
        <v>771</v>
      </c>
      <c r="G40" s="24" t="s">
        <v>772</v>
      </c>
      <c r="H40" s="24" t="s">
        <v>773</v>
      </c>
      <c r="J40" s="43" t="s">
        <v>813</v>
      </c>
      <c r="K40" s="44">
        <f>K15</f>
        <v>3390178</v>
      </c>
    </row>
    <row r="41">
      <c r="A41" s="23" t="s">
        <v>674</v>
      </c>
      <c r="B41" s="24" t="s">
        <v>768</v>
      </c>
      <c r="C41" s="24" t="s">
        <v>814</v>
      </c>
      <c r="D41" s="24" t="s">
        <v>815</v>
      </c>
      <c r="E41" s="25">
        <v>145200.0</v>
      </c>
      <c r="F41" s="24" t="s">
        <v>771</v>
      </c>
      <c r="G41" s="24" t="s">
        <v>772</v>
      </c>
      <c r="H41" s="24" t="s">
        <v>773</v>
      </c>
      <c r="J41" s="43" t="s">
        <v>816</v>
      </c>
      <c r="K41" s="45" t="s">
        <v>817</v>
      </c>
    </row>
    <row r="42" ht="30.0" customHeight="1">
      <c r="A42" s="23" t="s">
        <v>674</v>
      </c>
      <c r="B42" s="24" t="s">
        <v>818</v>
      </c>
      <c r="C42" s="24" t="s">
        <v>819</v>
      </c>
      <c r="D42" s="24" t="s">
        <v>820</v>
      </c>
      <c r="E42" s="25">
        <v>350000.0</v>
      </c>
      <c r="F42" s="24" t="s">
        <v>689</v>
      </c>
      <c r="G42" s="24" t="s">
        <v>821</v>
      </c>
      <c r="H42" s="24" t="s">
        <v>822</v>
      </c>
      <c r="J42" s="48" t="s">
        <v>823</v>
      </c>
      <c r="K42" s="41"/>
    </row>
    <row r="43" ht="30.0" customHeight="1">
      <c r="A43" s="23" t="s">
        <v>674</v>
      </c>
      <c r="B43" s="24" t="s">
        <v>818</v>
      </c>
      <c r="C43" s="24" t="s">
        <v>824</v>
      </c>
      <c r="D43" s="24" t="s">
        <v>820</v>
      </c>
      <c r="E43" s="25">
        <v>420000.0</v>
      </c>
      <c r="F43" s="24" t="s">
        <v>689</v>
      </c>
      <c r="G43" s="24" t="s">
        <v>821</v>
      </c>
      <c r="H43" s="24" t="s">
        <v>822</v>
      </c>
      <c r="J43" s="48"/>
      <c r="K43" s="41"/>
    </row>
    <row r="44" ht="30.0" customHeight="1">
      <c r="A44" s="23" t="s">
        <v>674</v>
      </c>
      <c r="B44" s="24" t="s">
        <v>818</v>
      </c>
      <c r="C44" s="24" t="s">
        <v>825</v>
      </c>
      <c r="D44" s="24" t="s">
        <v>820</v>
      </c>
      <c r="E44" s="25">
        <v>190000.0</v>
      </c>
      <c r="F44" s="24" t="s">
        <v>689</v>
      </c>
      <c r="G44" s="24" t="s">
        <v>821</v>
      </c>
      <c r="H44" s="24" t="s">
        <v>822</v>
      </c>
      <c r="J44" s="48"/>
      <c r="K44" s="41"/>
    </row>
    <row r="45">
      <c r="A45" s="23" t="s">
        <v>674</v>
      </c>
      <c r="B45" s="24" t="s">
        <v>818</v>
      </c>
      <c r="C45" s="24" t="s">
        <v>826</v>
      </c>
      <c r="D45" s="24" t="s">
        <v>820</v>
      </c>
      <c r="E45" s="25">
        <v>275000.0</v>
      </c>
      <c r="F45" s="24" t="s">
        <v>689</v>
      </c>
      <c r="G45" s="24" t="s">
        <v>821</v>
      </c>
      <c r="H45" s="24" t="s">
        <v>822</v>
      </c>
    </row>
    <row r="46">
      <c r="A46" s="23" t="s">
        <v>674</v>
      </c>
      <c r="B46" s="24" t="s">
        <v>818</v>
      </c>
      <c r="C46" s="24" t="s">
        <v>827</v>
      </c>
      <c r="D46" s="24" t="s">
        <v>820</v>
      </c>
      <c r="E46" s="25">
        <v>380000.0</v>
      </c>
      <c r="F46" s="24" t="s">
        <v>689</v>
      </c>
      <c r="G46" s="24" t="s">
        <v>821</v>
      </c>
      <c r="H46" s="24" t="s">
        <v>822</v>
      </c>
      <c r="J46" s="49"/>
      <c r="K46" s="50"/>
    </row>
    <row r="47">
      <c r="A47" s="23" t="s">
        <v>674</v>
      </c>
      <c r="B47" s="24" t="s">
        <v>818</v>
      </c>
      <c r="C47" s="24" t="s">
        <v>828</v>
      </c>
      <c r="D47" s="24" t="s">
        <v>820</v>
      </c>
      <c r="E47" s="25">
        <v>160000.0</v>
      </c>
      <c r="F47" s="24" t="s">
        <v>689</v>
      </c>
      <c r="G47" s="24" t="s">
        <v>821</v>
      </c>
      <c r="H47" s="24" t="s">
        <v>822</v>
      </c>
      <c r="J47" s="43"/>
      <c r="K47" s="51"/>
    </row>
    <row r="48">
      <c r="A48" s="23" t="s">
        <v>674</v>
      </c>
      <c r="B48" s="24" t="s">
        <v>818</v>
      </c>
      <c r="C48" s="24" t="s">
        <v>829</v>
      </c>
      <c r="D48" s="24" t="s">
        <v>830</v>
      </c>
      <c r="E48" s="25">
        <v>245000.0</v>
      </c>
      <c r="F48" s="24" t="s">
        <v>689</v>
      </c>
      <c r="G48" s="24" t="s">
        <v>831</v>
      </c>
      <c r="H48" s="24" t="s">
        <v>832</v>
      </c>
      <c r="J48" s="43"/>
      <c r="K48" s="51"/>
    </row>
    <row r="49">
      <c r="A49" s="23" t="s">
        <v>674</v>
      </c>
      <c r="B49" s="24" t="s">
        <v>833</v>
      </c>
      <c r="C49" s="24" t="s">
        <v>834</v>
      </c>
      <c r="D49" s="24" t="s">
        <v>835</v>
      </c>
      <c r="E49" s="25">
        <v>120000.0</v>
      </c>
      <c r="F49" s="24" t="s">
        <v>689</v>
      </c>
      <c r="G49" s="24" t="s">
        <v>836</v>
      </c>
      <c r="H49" s="24" t="s">
        <v>837</v>
      </c>
      <c r="J49" s="43"/>
      <c r="K49" s="51"/>
    </row>
    <row r="50">
      <c r="A50" s="23" t="s">
        <v>674</v>
      </c>
      <c r="B50" s="24" t="s">
        <v>833</v>
      </c>
      <c r="C50" s="24" t="s">
        <v>838</v>
      </c>
      <c r="D50" s="24" t="s">
        <v>839</v>
      </c>
      <c r="E50" s="25">
        <v>94800.0</v>
      </c>
      <c r="F50" s="24" t="s">
        <v>689</v>
      </c>
      <c r="G50" s="24" t="s">
        <v>836</v>
      </c>
      <c r="H50" s="24" t="s">
        <v>837</v>
      </c>
      <c r="J50" s="43"/>
      <c r="K50" s="52"/>
    </row>
    <row r="51">
      <c r="A51" s="23" t="s">
        <v>674</v>
      </c>
      <c r="B51" s="24" t="s">
        <v>833</v>
      </c>
      <c r="C51" s="24" t="s">
        <v>840</v>
      </c>
      <c r="D51" s="24" t="s">
        <v>841</v>
      </c>
      <c r="E51" s="25">
        <v>188200.0</v>
      </c>
      <c r="F51" s="24" t="s">
        <v>689</v>
      </c>
      <c r="G51" s="24" t="s">
        <v>836</v>
      </c>
      <c r="H51" s="24" t="s">
        <v>837</v>
      </c>
      <c r="J51" s="43"/>
      <c r="K51" s="51"/>
    </row>
    <row r="52">
      <c r="A52" s="23" t="s">
        <v>674</v>
      </c>
      <c r="B52" s="24" t="s">
        <v>833</v>
      </c>
      <c r="C52" s="24" t="s">
        <v>842</v>
      </c>
      <c r="D52" s="24" t="s">
        <v>843</v>
      </c>
      <c r="E52" s="25">
        <v>76500.0</v>
      </c>
      <c r="F52" s="24" t="s">
        <v>689</v>
      </c>
      <c r="G52" s="24" t="s">
        <v>836</v>
      </c>
      <c r="H52" s="24" t="s">
        <v>837</v>
      </c>
      <c r="J52" s="43"/>
      <c r="K52" s="52"/>
    </row>
    <row r="53">
      <c r="A53" s="24">
        <v>46313.0</v>
      </c>
      <c r="B53" s="24" t="s">
        <v>818</v>
      </c>
      <c r="C53" s="24" t="s">
        <v>844</v>
      </c>
      <c r="D53" s="24" t="s">
        <v>820</v>
      </c>
      <c r="E53" s="25">
        <v>453024.0</v>
      </c>
      <c r="F53" s="53" t="str">
        <f>HYPERLINK("https://drive.google.com/file/d/1GHvF5G_YRoBYxT0vqXphHbgS8Kr4DRuj/view","Abrir factura")</f>
        <v>Abrir factura</v>
      </c>
      <c r="G53" s="54" t="str">
        <f t="shared" ref="G53:G57" si="1">HYPERLINK("https://drive.google.com/file/d/1_sMZSxRjWmynW7ajD-vfvJvLtL_Gg8iz/view","Abrir extracto")</f>
        <v>Abrir extracto</v>
      </c>
      <c r="H53" s="24" t="s">
        <v>845</v>
      </c>
    </row>
    <row r="54">
      <c r="A54" s="24">
        <v>46313.0</v>
      </c>
      <c r="B54" s="24" t="s">
        <v>818</v>
      </c>
      <c r="C54" s="24" t="s">
        <v>846</v>
      </c>
      <c r="D54" s="24" t="s">
        <v>820</v>
      </c>
      <c r="E54" s="25">
        <v>220220.0</v>
      </c>
      <c r="F54" s="53" t="str">
        <f>HYPERLINK("https://drive.google.com/file/d/16Bqy0a_UcBmm3iEmO9OtEFJsjlAMNFmm/view","Abrir factura")</f>
        <v>Abrir factura</v>
      </c>
      <c r="G54" s="54" t="str">
        <f t="shared" si="1"/>
        <v>Abrir extracto</v>
      </c>
      <c r="H54" s="24" t="s">
        <v>845</v>
      </c>
    </row>
    <row r="55">
      <c r="A55" s="24">
        <v>46313.0</v>
      </c>
      <c r="B55" s="24" t="s">
        <v>818</v>
      </c>
      <c r="C55" s="24" t="s">
        <v>847</v>
      </c>
      <c r="D55" s="24" t="s">
        <v>820</v>
      </c>
      <c r="E55" s="25">
        <v>544742.0</v>
      </c>
      <c r="F55" s="53" t="str">
        <f>HYPERLINK("https://drive.google.com/file/d/15HNwYJ__eG3gLgCh200YjvjBvQwt8dWo/view","Abrir factura")</f>
        <v>Abrir factura</v>
      </c>
      <c r="G55" s="54" t="str">
        <f t="shared" si="1"/>
        <v>Abrir extracto</v>
      </c>
      <c r="H55" s="24" t="s">
        <v>845</v>
      </c>
    </row>
    <row r="56">
      <c r="A56" s="24">
        <v>46313.0</v>
      </c>
      <c r="B56" s="24" t="s">
        <v>818</v>
      </c>
      <c r="C56" s="24" t="s">
        <v>848</v>
      </c>
      <c r="D56" s="24" t="s">
        <v>820</v>
      </c>
      <c r="E56" s="25">
        <v>93775.0</v>
      </c>
      <c r="F56" s="53" t="str">
        <f>HYPERLINK("https://drive.google.com/file/d/1Qwj0QSE5PlvoOnxxw6I7wTND2e7OgmBI/view","Abrir factura")</f>
        <v>Abrir factura</v>
      </c>
      <c r="G56" s="54" t="str">
        <f t="shared" si="1"/>
        <v>Abrir extracto</v>
      </c>
      <c r="H56" s="24" t="s">
        <v>845</v>
      </c>
    </row>
    <row r="57">
      <c r="A57" s="24">
        <v>46313.0</v>
      </c>
      <c r="B57" s="24" t="s">
        <v>818</v>
      </c>
      <c r="C57" s="24" t="s">
        <v>849</v>
      </c>
      <c r="D57" s="24" t="s">
        <v>820</v>
      </c>
      <c r="E57" s="25">
        <v>496100.0</v>
      </c>
      <c r="F57" s="53" t="str">
        <f>HYPERLINK("https://drive.google.com/file/d/1_lzJHQQqmequ_24uAuAOrmMNOUmJ9ewX/view","Abrir factura")</f>
        <v>Abrir factura</v>
      </c>
      <c r="G57" s="54" t="str">
        <f t="shared" si="1"/>
        <v>Abrir extracto</v>
      </c>
      <c r="H57" s="24" t="s">
        <v>850</v>
      </c>
    </row>
    <row r="58">
      <c r="A58" s="24">
        <v>46313.0</v>
      </c>
      <c r="B58" s="24" t="s">
        <v>833</v>
      </c>
      <c r="C58" s="24" t="s">
        <v>708</v>
      </c>
      <c r="D58" s="24" t="s">
        <v>851</v>
      </c>
      <c r="E58" s="25">
        <v>116160.0</v>
      </c>
      <c r="F58" s="53" t="str">
        <f>HYPERLINK("https://drive.google.com/file/d/1LEyY059S2oClkp7kH0z-FG2omQl4tpXn/view","Abrir factura")</f>
        <v>Abrir factura</v>
      </c>
      <c r="G58" s="24" t="s">
        <v>852</v>
      </c>
      <c r="H58" s="24" t="s">
        <v>853</v>
      </c>
    </row>
    <row r="59">
      <c r="A59" s="24">
        <v>46313.0</v>
      </c>
      <c r="B59" s="24" t="s">
        <v>833</v>
      </c>
      <c r="C59" s="24" t="s">
        <v>723</v>
      </c>
      <c r="D59" s="24" t="s">
        <v>851</v>
      </c>
      <c r="E59" s="25">
        <v>165891.0</v>
      </c>
      <c r="F59" s="53" t="str">
        <f>HYPERLINK("https://drive.google.com/file/d/1Q_b00yMM8fsDJ1-bsddZgg-tcS7HqwSQ/view","Abrir factura")</f>
        <v>Abrir factura</v>
      </c>
      <c r="G59" s="24" t="s">
        <v>852</v>
      </c>
      <c r="H59" s="24" t="s">
        <v>853</v>
      </c>
    </row>
    <row r="60">
      <c r="A60" s="24">
        <v>46313.0</v>
      </c>
      <c r="B60" s="24" t="s">
        <v>833</v>
      </c>
      <c r="C60" s="24" t="s">
        <v>735</v>
      </c>
      <c r="D60" s="24" t="s">
        <v>851</v>
      </c>
      <c r="E60" s="25">
        <v>207515.0</v>
      </c>
      <c r="F60" s="53" t="str">
        <f>HYPERLINK("https://drive.google.com/file/d/1gubd0ohYh6W2FoCWdoVqP1uVruvvPq1_/view","Abrir factura")</f>
        <v>Abrir factura</v>
      </c>
      <c r="G60" s="24" t="s">
        <v>852</v>
      </c>
      <c r="H60" s="24" t="s">
        <v>853</v>
      </c>
    </row>
    <row r="61">
      <c r="A61" s="24">
        <v>46313.0</v>
      </c>
      <c r="B61" s="24" t="s">
        <v>833</v>
      </c>
      <c r="C61" s="24" t="s">
        <v>854</v>
      </c>
      <c r="D61" s="24" t="s">
        <v>851</v>
      </c>
      <c r="E61" s="25">
        <v>226875.0</v>
      </c>
      <c r="F61" s="53" t="str">
        <f>HYPERLINK("https://drive.google.com/file/d/1RjiRWuo-r_03v-eyIohyJcRf9Q02RHk0/view","Abrir factura")</f>
        <v>Abrir factura</v>
      </c>
      <c r="G61" s="24" t="s">
        <v>852</v>
      </c>
      <c r="H61" s="24" t="s">
        <v>853</v>
      </c>
    </row>
    <row r="62">
      <c r="A62" s="24">
        <v>46313.0</v>
      </c>
      <c r="B62" s="24" t="s">
        <v>833</v>
      </c>
      <c r="C62" s="24" t="s">
        <v>855</v>
      </c>
      <c r="D62" s="24" t="s">
        <v>851</v>
      </c>
      <c r="E62" s="25">
        <v>259787.0</v>
      </c>
      <c r="F62" s="53" t="str">
        <f>HYPERLINK("https://drive.google.com/file/d/1aEfwwi5XAG6yK2oTkLSNABOcXObz9Mk9/view","Abrir factura")</f>
        <v>Abrir factura</v>
      </c>
      <c r="G62" s="24" t="s">
        <v>852</v>
      </c>
      <c r="H62" s="24" t="s">
        <v>853</v>
      </c>
    </row>
    <row r="63">
      <c r="A63" s="24">
        <v>46313.0</v>
      </c>
      <c r="B63" s="24" t="s">
        <v>833</v>
      </c>
      <c r="C63" s="24" t="s">
        <v>856</v>
      </c>
      <c r="D63" s="24" t="s">
        <v>851</v>
      </c>
      <c r="E63" s="25">
        <v>220946.0</v>
      </c>
      <c r="F63" s="53" t="str">
        <f>HYPERLINK("https://drive.google.com/file/d/1vvejhl_jyqSaA5kcC0GCczP4PHOLix79/view","Abrir factura")</f>
        <v>Abrir factura</v>
      </c>
      <c r="G63" s="24" t="s">
        <v>852</v>
      </c>
      <c r="H63" s="24" t="s">
        <v>853</v>
      </c>
    </row>
    <row r="64">
      <c r="A64" s="24">
        <v>46313.0</v>
      </c>
      <c r="B64" s="24" t="s">
        <v>833</v>
      </c>
      <c r="C64" s="24" t="s">
        <v>857</v>
      </c>
      <c r="D64" s="24" t="s">
        <v>851</v>
      </c>
      <c r="E64" s="25">
        <v>251922.0</v>
      </c>
      <c r="F64" s="53" t="str">
        <f>HYPERLINK("https://drive.google.com/file/d/1h34Ga0a3Q8wF45MwaOKzO-cBYQYoNJIl/view","Abrir factura")</f>
        <v>Abrir factura</v>
      </c>
      <c r="G64" s="24" t="s">
        <v>852</v>
      </c>
      <c r="H64" s="24" t="s">
        <v>853</v>
      </c>
    </row>
    <row r="65">
      <c r="A65" s="24">
        <v>46313.0</v>
      </c>
      <c r="B65" s="24" t="s">
        <v>833</v>
      </c>
      <c r="C65" s="24" t="s">
        <v>858</v>
      </c>
      <c r="D65" s="24" t="s">
        <v>851</v>
      </c>
      <c r="E65" s="25">
        <v>80465.0</v>
      </c>
      <c r="F65" s="53" t="str">
        <f>HYPERLINK("https://drive.google.com/file/d/1P3rNkcfwD0hZpURJp5A2aBFnBhjfZH7U/view","Abrir factura")</f>
        <v>Abrir factura</v>
      </c>
      <c r="G65" s="24" t="s">
        <v>852</v>
      </c>
      <c r="H65" s="24" t="s">
        <v>853</v>
      </c>
    </row>
    <row r="66">
      <c r="A66" s="24">
        <v>46313.0</v>
      </c>
      <c r="B66" s="24" t="s">
        <v>833</v>
      </c>
      <c r="C66" s="24" t="s">
        <v>859</v>
      </c>
      <c r="D66" s="24" t="s">
        <v>851</v>
      </c>
      <c r="E66" s="25">
        <v>81070.0</v>
      </c>
      <c r="F66" s="53" t="str">
        <f>HYPERLINK("https://drive.google.com/file/d/16k5JcKBGmHiL8_2TAJz2bWXb6d9kxq4_/view","Abrir factura")</f>
        <v>Abrir factura</v>
      </c>
      <c r="G66" s="24" t="s">
        <v>852</v>
      </c>
      <c r="H66" s="24" t="s">
        <v>853</v>
      </c>
    </row>
    <row r="67">
      <c r="A67" s="24">
        <v>46313.0</v>
      </c>
      <c r="B67" s="24" t="s">
        <v>833</v>
      </c>
      <c r="C67" s="24" t="s">
        <v>860</v>
      </c>
      <c r="D67" s="24" t="s">
        <v>851</v>
      </c>
      <c r="E67" s="25">
        <v>144111.0</v>
      </c>
      <c r="F67" s="53" t="str">
        <f>HYPERLINK("https://drive.google.com/file/d/1uTHRSwaVermLqXN28EJRvbSBvwSVOdSO/view","Abrir factura")</f>
        <v>Abrir factura</v>
      </c>
      <c r="G67" s="24" t="s">
        <v>852</v>
      </c>
      <c r="H67" s="24" t="s">
        <v>853</v>
      </c>
    </row>
    <row r="68">
      <c r="A68" s="24">
        <v>46313.0</v>
      </c>
      <c r="B68" s="24" t="s">
        <v>833</v>
      </c>
      <c r="C68" s="24" t="s">
        <v>861</v>
      </c>
      <c r="D68" s="24" t="s">
        <v>851</v>
      </c>
      <c r="E68" s="25">
        <v>46585.0</v>
      </c>
      <c r="F68" s="53" t="str">
        <f>HYPERLINK("https://drive.google.com/file/d/1FmAaZsCRevm-7ZfjiQru4deTc5uLQNX6/view","Abrir factura")</f>
        <v>Abrir factura</v>
      </c>
      <c r="G68" s="24" t="s">
        <v>852</v>
      </c>
      <c r="H68" s="24" t="s">
        <v>853</v>
      </c>
    </row>
    <row r="69">
      <c r="A69" s="24">
        <v>46313.0</v>
      </c>
      <c r="B69" s="24" t="s">
        <v>833</v>
      </c>
      <c r="C69" s="24" t="s">
        <v>862</v>
      </c>
      <c r="D69" s="24" t="s">
        <v>851</v>
      </c>
      <c r="E69" s="25">
        <v>254705.0</v>
      </c>
      <c r="F69" s="53" t="str">
        <f>HYPERLINK("https://drive.google.com/file/d/1ActtKmfc9-1_RmjyiMgZCXBY3bycMwdg/view","Abrir factura")</f>
        <v>Abrir factura</v>
      </c>
      <c r="G69" s="24" t="s">
        <v>852</v>
      </c>
      <c r="H69" s="24" t="s">
        <v>853</v>
      </c>
    </row>
    <row r="70">
      <c r="A70" s="24">
        <v>46313.0</v>
      </c>
      <c r="B70" s="24" t="s">
        <v>833</v>
      </c>
      <c r="C70" s="24" t="s">
        <v>863</v>
      </c>
      <c r="D70" s="24" t="s">
        <v>851</v>
      </c>
      <c r="E70" s="25">
        <v>129470.0</v>
      </c>
      <c r="F70" s="53" t="str">
        <f>HYPERLINK("https://drive.google.com/file/d/13NZMhurSrceIMLkBQA7A9VU08TF2Nj1G/view","Abrir factura")</f>
        <v>Abrir factura</v>
      </c>
      <c r="G70" s="24" t="s">
        <v>852</v>
      </c>
      <c r="H70" s="24" t="s">
        <v>853</v>
      </c>
    </row>
    <row r="71">
      <c r="A71" s="24">
        <v>46313.0</v>
      </c>
      <c r="B71" s="24" t="s">
        <v>833</v>
      </c>
      <c r="C71" s="24" t="s">
        <v>864</v>
      </c>
      <c r="D71" s="24" t="s">
        <v>851</v>
      </c>
      <c r="E71" s="25">
        <v>91355.0</v>
      </c>
      <c r="F71" s="53" t="str">
        <f>HYPERLINK("https://drive.google.com/file/d/1wFlR5cT7lqYTI1lQEWnToNGNxNX6Q3Ap/view","Abrir factura")</f>
        <v>Abrir factura</v>
      </c>
      <c r="G71" s="24" t="s">
        <v>852</v>
      </c>
      <c r="H71" s="24" t="s">
        <v>853</v>
      </c>
    </row>
    <row r="72">
      <c r="A72" s="23" t="s">
        <v>865</v>
      </c>
      <c r="B72" s="24" t="s">
        <v>866</v>
      </c>
      <c r="C72" s="24" t="s">
        <v>867</v>
      </c>
      <c r="D72" s="24" t="s">
        <v>868</v>
      </c>
      <c r="E72" s="25">
        <v>230000.0</v>
      </c>
      <c r="F72" s="24"/>
      <c r="G72" s="53" t="str">
        <f t="shared" ref="G72:G79" si="2">HYPERLINK("https://drive.google.com/file/d/1_sMZSxRjWmynW7ajD-vfvJvLtL_Gg8iz/view","Abrir extracto")</f>
        <v>Abrir extracto</v>
      </c>
      <c r="H72" s="24" t="s">
        <v>869</v>
      </c>
    </row>
    <row r="73">
      <c r="A73" s="23" t="s">
        <v>865</v>
      </c>
      <c r="B73" s="24" t="s">
        <v>866</v>
      </c>
      <c r="C73" s="24" t="s">
        <v>870</v>
      </c>
      <c r="D73" s="24" t="s">
        <v>871</v>
      </c>
      <c r="E73" s="25">
        <v>78500.0</v>
      </c>
      <c r="F73" s="24"/>
      <c r="G73" s="53" t="str">
        <f t="shared" si="2"/>
        <v>Abrir extracto</v>
      </c>
      <c r="H73" s="24" t="s">
        <v>869</v>
      </c>
    </row>
    <row r="74">
      <c r="A74" s="23" t="s">
        <v>865</v>
      </c>
      <c r="B74" s="24" t="s">
        <v>866</v>
      </c>
      <c r="C74" s="24" t="s">
        <v>872</v>
      </c>
      <c r="D74" s="24" t="s">
        <v>873</v>
      </c>
      <c r="E74" s="25">
        <v>90420.0</v>
      </c>
      <c r="F74" s="24"/>
      <c r="G74" s="53" t="str">
        <f t="shared" si="2"/>
        <v>Abrir extracto</v>
      </c>
      <c r="H74" s="24" t="s">
        <v>869</v>
      </c>
    </row>
    <row r="75">
      <c r="A75" s="23" t="s">
        <v>865</v>
      </c>
      <c r="B75" s="24" t="s">
        <v>866</v>
      </c>
      <c r="C75" s="24" t="s">
        <v>874</v>
      </c>
      <c r="D75" s="24" t="s">
        <v>875</v>
      </c>
      <c r="E75" s="25">
        <v>31200.0</v>
      </c>
      <c r="F75" s="24"/>
      <c r="G75" s="53" t="str">
        <f t="shared" si="2"/>
        <v>Abrir extracto</v>
      </c>
      <c r="H75" s="24" t="s">
        <v>869</v>
      </c>
    </row>
    <row r="76">
      <c r="A76" s="23" t="s">
        <v>865</v>
      </c>
      <c r="B76" s="24" t="s">
        <v>866</v>
      </c>
      <c r="C76" s="24" t="s">
        <v>876</v>
      </c>
      <c r="D76" s="24" t="s">
        <v>685</v>
      </c>
      <c r="E76" s="25">
        <v>22900.0</v>
      </c>
      <c r="F76" s="24"/>
      <c r="G76" s="53" t="str">
        <f t="shared" si="2"/>
        <v>Abrir extracto</v>
      </c>
      <c r="H76" s="24" t="s">
        <v>877</v>
      </c>
    </row>
    <row r="77">
      <c r="A77" s="23" t="s">
        <v>865</v>
      </c>
      <c r="B77" s="24" t="s">
        <v>866</v>
      </c>
      <c r="C77" s="24" t="s">
        <v>878</v>
      </c>
      <c r="D77" s="24" t="s">
        <v>879</v>
      </c>
      <c r="E77" s="25">
        <v>19800.0</v>
      </c>
      <c r="F77" s="24"/>
      <c r="G77" s="53" t="str">
        <f t="shared" si="2"/>
        <v>Abrir extracto</v>
      </c>
      <c r="H77" s="24" t="s">
        <v>877</v>
      </c>
    </row>
    <row r="78">
      <c r="A78" s="23" t="s">
        <v>865</v>
      </c>
      <c r="B78" s="24" t="s">
        <v>866</v>
      </c>
      <c r="C78" s="24" t="s">
        <v>880</v>
      </c>
      <c r="D78" s="24" t="s">
        <v>706</v>
      </c>
      <c r="E78" s="25">
        <v>42300.0</v>
      </c>
      <c r="F78" s="24"/>
      <c r="G78" s="53" t="str">
        <f t="shared" si="2"/>
        <v>Abrir extracto</v>
      </c>
      <c r="H78" s="24" t="s">
        <v>877</v>
      </c>
    </row>
    <row r="79">
      <c r="A79" s="23" t="s">
        <v>865</v>
      </c>
      <c r="B79" s="24" t="s">
        <v>866</v>
      </c>
      <c r="C79" s="24" t="s">
        <v>881</v>
      </c>
      <c r="D79" s="24" t="s">
        <v>882</v>
      </c>
      <c r="E79" s="25">
        <v>14750.0</v>
      </c>
      <c r="F79" s="24"/>
      <c r="G79" s="53" t="str">
        <f t="shared" si="2"/>
        <v>Abrir extracto</v>
      </c>
      <c r="H79" s="24" t="s">
        <v>877</v>
      </c>
    </row>
  </sheetData>
  <autoFilter ref="$A$4:$H$26"/>
  <mergeCells count="11">
    <mergeCell ref="J33:K33"/>
    <mergeCell ref="J42:K42"/>
    <mergeCell ref="J43:K43"/>
    <mergeCell ref="J44:K44"/>
    <mergeCell ref="A1:H1"/>
    <mergeCell ref="A2:H2"/>
    <mergeCell ref="J4:K4"/>
    <mergeCell ref="J5:K5"/>
    <mergeCell ref="J14:K14"/>
    <mergeCell ref="J27:K27"/>
    <mergeCell ref="J28:K28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6.38"/>
    <col customWidth="1" min="2" max="5" width="22.0"/>
  </cols>
  <sheetData>
    <row r="1">
      <c r="A1" s="55" t="s">
        <v>883</v>
      </c>
    </row>
    <row r="2">
      <c r="A2" s="56" t="s">
        <v>884</v>
      </c>
    </row>
    <row r="3">
      <c r="A3" s="57" t="s">
        <v>885</v>
      </c>
    </row>
    <row r="4">
      <c r="A4" s="58" t="s">
        <v>886</v>
      </c>
      <c r="B4" s="58" t="s">
        <v>887</v>
      </c>
      <c r="C4" s="58" t="s">
        <v>15</v>
      </c>
      <c r="D4" s="58" t="s">
        <v>30</v>
      </c>
      <c r="E4" s="58" t="s">
        <v>888</v>
      </c>
    </row>
    <row r="5">
      <c r="A5" s="59" t="s">
        <v>889</v>
      </c>
      <c r="B5" s="60">
        <f>SUM('Enero Ventas'!K5:K1000)</f>
        <v>5780525.74</v>
      </c>
      <c r="C5" s="60">
        <f>SUM('Enero Ventas'!J5:J1000)</f>
        <v>1003231.74</v>
      </c>
      <c r="D5" s="60">
        <f>SUM('Enero Gastos'!I5:I1000)</f>
        <v>218268.02</v>
      </c>
      <c r="E5" s="60">
        <f t="shared" ref="E5:E13" si="1">C5-D5</f>
        <v>784963.72</v>
      </c>
    </row>
    <row r="6">
      <c r="A6" s="59" t="s">
        <v>890</v>
      </c>
      <c r="B6" s="60">
        <f>SUM('Febrero Ventas'!K5:K1000)</f>
        <v>5143761.25</v>
      </c>
      <c r="C6" s="60">
        <f>SUM('Febrero Ventas'!J5:J1000)</f>
        <v>892718.89</v>
      </c>
      <c r="D6" s="60">
        <f>SUM('Febrero Gastos'!I5:I1000)</f>
        <v>1319925.29</v>
      </c>
      <c r="E6" s="60">
        <f t="shared" si="1"/>
        <v>-427206.4</v>
      </c>
    </row>
    <row r="7">
      <c r="A7" s="59" t="s">
        <v>891</v>
      </c>
      <c r="B7" s="60">
        <f>SUM('Marzo Ventas'!K5:K1000)</f>
        <v>5643875.6</v>
      </c>
      <c r="C7" s="60">
        <f>SUM('Marzo Ventas'!J5:J1000)</f>
        <v>979515.6</v>
      </c>
      <c r="D7" s="60">
        <f>SUM('Marzo Gastos'!I5:I1000)</f>
        <v>223369.45</v>
      </c>
      <c r="E7" s="60">
        <f t="shared" si="1"/>
        <v>756146.15</v>
      </c>
    </row>
    <row r="8">
      <c r="A8" s="59" t="s">
        <v>892</v>
      </c>
      <c r="B8" s="60">
        <f>SUM('Abril Ventas'!K5:K1000)</f>
        <v>5575550.53</v>
      </c>
      <c r="C8" s="60">
        <f>SUM('Abril Ventas'!J5:J1000)</f>
        <v>967657.53</v>
      </c>
      <c r="D8" s="60">
        <f>SUM('Abril Gastos'!I5:I1000)</f>
        <v>211902.18</v>
      </c>
      <c r="E8" s="60">
        <f t="shared" si="1"/>
        <v>755755.35</v>
      </c>
    </row>
    <row r="9">
      <c r="A9" s="59" t="s">
        <v>893</v>
      </c>
      <c r="B9" s="60">
        <f>SUM('Mayo Ventas'!K5:K1000)</f>
        <v>5507225.46</v>
      </c>
      <c r="C9" s="60">
        <f>SUM('Mayo Ventas'!J5:J1000)</f>
        <v>955799.46</v>
      </c>
      <c r="D9" s="60">
        <f>SUM('Mayo Gastos'!I5:I1000)</f>
        <v>212930.55</v>
      </c>
      <c r="E9" s="60">
        <f t="shared" si="1"/>
        <v>742868.91</v>
      </c>
    </row>
    <row r="10">
      <c r="A10" s="59" t="s">
        <v>894</v>
      </c>
      <c r="B10" s="60">
        <f>SUM('Junio Ventas'!K5:K1000)</f>
        <v>5438900.39</v>
      </c>
      <c r="C10" s="60">
        <f>SUM('Junio Ventas'!J5:J1000)</f>
        <v>943941.39</v>
      </c>
      <c r="D10" s="60">
        <f>SUM('Junio Gastos'!I5:I1000)</f>
        <v>212173.72</v>
      </c>
      <c r="E10" s="60">
        <f t="shared" si="1"/>
        <v>731767.67</v>
      </c>
    </row>
    <row r="11">
      <c r="A11" s="59" t="s">
        <v>895</v>
      </c>
      <c r="B11" s="60">
        <f>SUM('Julio Ventas'!K5:K1000)</f>
        <v>5370575.32</v>
      </c>
      <c r="C11" s="60">
        <f>SUM('Julio Ventas'!J5:J1000)</f>
        <v>932083.32</v>
      </c>
      <c r="D11" s="60">
        <f>SUM('Julio Gastos'!I5:I1000)</f>
        <v>207111.56</v>
      </c>
      <c r="E11" s="60">
        <f t="shared" si="1"/>
        <v>724971.76</v>
      </c>
    </row>
    <row r="12">
      <c r="A12" s="59" t="s">
        <v>896</v>
      </c>
      <c r="B12" s="60">
        <f>SUM('Agosto Ventas'!K5:K1000)</f>
        <v>5411151.46</v>
      </c>
      <c r="C12" s="60">
        <f>SUM('Agosto Ventas'!J5:J1000)</f>
        <v>939125.46</v>
      </c>
      <c r="D12" s="60">
        <f>SUM('Agosto Gastos'!I5:I1000)</f>
        <v>207824.72</v>
      </c>
      <c r="E12" s="60">
        <f t="shared" si="1"/>
        <v>731300.74</v>
      </c>
    </row>
    <row r="13">
      <c r="A13" s="59" t="s">
        <v>897</v>
      </c>
      <c r="B13" s="60">
        <f>SUM('Septiembre Ventas'!K5:K1000)</f>
        <v>9091464.47</v>
      </c>
      <c r="C13" s="60">
        <f>SUM('Septiembre Ventas'!J5:J1000)</f>
        <v>1577857.47</v>
      </c>
      <c r="D13" s="60">
        <f>SUM('Septiembre Gastos'!I5:I1000)</f>
        <v>258961.5</v>
      </c>
      <c r="E13" s="60">
        <f t="shared" si="1"/>
        <v>1318895.97</v>
      </c>
    </row>
    <row r="14" ht="30.0" customHeight="1">
      <c r="A14" s="61" t="s">
        <v>898</v>
      </c>
      <c r="B14" s="62"/>
      <c r="C14" s="62"/>
      <c r="D14" s="62"/>
      <c r="E14" s="62"/>
    </row>
    <row r="15" ht="30.0" customHeight="1">
      <c r="A15" s="61" t="s">
        <v>899</v>
      </c>
    </row>
    <row r="16" ht="30.0" customHeight="1">
      <c r="A16" s="62"/>
    </row>
  </sheetData>
  <mergeCells count="4">
    <mergeCell ref="A1:E1"/>
    <mergeCell ref="A2:E2"/>
    <mergeCell ref="A15:E15"/>
    <mergeCell ref="A16:E16"/>
  </mergeCells>
  <drawing r:id="rId1"/>
</worksheet>
</file>